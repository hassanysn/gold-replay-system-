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worksheets/sheet3.xml" ContentType="application/vnd.openxmlformats-officedocument.spreadsheetml.worksheet+xml"/>
  <Override PartName="/xl/tables/table4.xml" ContentType="application/vnd.openxmlformats-officedocument.spreadsheetml.table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Setup" sheetId="2" state="visible" r:id="rId2"/>
    <sheet xmlns:r="http://schemas.openxmlformats.org/officeDocument/2006/relationships" name="Transactions" sheetId="3" state="visible" r:id="rId3"/>
    <sheet xmlns:r="http://schemas.openxmlformats.org/officeDocument/2006/relationships" name="Dashboard" sheetId="4" state="visible" r:id="rId4"/>
    <sheet xmlns:r="http://schemas.openxmlformats.org/officeDocument/2006/relationships" name="Daily Flow" sheetId="5" state="visible" r:id="rId5"/>
  </sheets>
  <definedNames>
    <definedName name="StartDate">Setup!$C$5</definedName>
    <definedName name="EndDate">Setup!$C$6</definedName>
    <definedName name="DaysInMonth">Setup!$C$7</definedName>
    <definedName name="CurSym">Setup!$C$9</definedName>
    <definedName name="ExpectedIncome">Setup!$J$5</definedName>
    <definedName name="TotalBudget">Setup!$J$6</definedName>
    <definedName name="IncomeSources">tblIncome[Source]</definedName>
    <definedName name="ExpenseCategories">tblCategories[Category]</definedName>
    <definedName name="PaymentMethods">tblPayments[Method]</definedName>
  </definedNames>
  <calcPr calcId="124519" fullCalcOnLoad="1"/>
</workbook>
</file>

<file path=xl/styles.xml><?xml version="1.0" encoding="utf-8"?>
<styleSheet xmlns="http://schemas.openxmlformats.org/spreadsheetml/2006/main">
  <numFmts count="11">
    <numFmt numFmtId="164" formatCode="yyyy-mm-dd"/>
    <numFmt numFmtId="165" formatCode="dd-mmm-yyyy"/>
    <numFmt numFmtId="166" formatCode="mmmm yyyy"/>
    <numFmt numFmtId="167" formatCode="#,##0.00;[Red]-#,##0.00"/>
    <numFmt numFmtId="168" formatCode="ddd dd-mmm"/>
    <numFmt numFmtId="169" formatCode="dd-mmm"/>
    <numFmt numFmtId="170" formatCode="&quot;from &quot;d mmm yyyy"/>
    <numFmt numFmtId="171" formatCode="&quot;to &quot;d mmm yyyy"/>
    <numFmt numFmtId="172" formatCode=";;;"/>
    <numFmt numFmtId="173" formatCode="0.000000"/>
    <numFmt numFmtId="174" formatCode="0.0%"/>
  </numFmts>
  <fonts count="24">
    <font>
      <name val="Calibri"/>
      <family val="2"/>
      <color theme="1"/>
      <sz val="11"/>
      <scheme val="minor"/>
    </font>
    <font>
      <name val="Arial"/>
      <b val="1"/>
      <color rgb="001C5CAB"/>
      <sz val="18"/>
    </font>
    <font>
      <name val="Arial"/>
      <i val="1"/>
      <color rgb="006B6B6B"/>
      <sz val="10"/>
    </font>
    <font>
      <name val="Arial"/>
      <b val="1"/>
      <color rgb="001C5CAB"/>
      <sz val="12"/>
    </font>
    <font>
      <name val="Arial"/>
      <b val="1"/>
      <color rgb="00222222"/>
      <sz val="10"/>
    </font>
    <font>
      <name val="Arial"/>
      <i val="1"/>
      <color rgb="006B6B6B"/>
      <sz val="9"/>
    </font>
    <font>
      <name val="Arial"/>
      <color rgb="00222222"/>
      <sz val="10"/>
    </font>
    <font>
      <name val="Arial"/>
      <b val="1"/>
      <color rgb="00FFFFFF"/>
      <sz val="10"/>
    </font>
    <font>
      <name val="Arial"/>
      <b val="1"/>
      <color rgb="009C0006"/>
      <sz val="10"/>
    </font>
    <font>
      <name val="Arial"/>
      <color rgb="006B6B6B"/>
      <sz val="10"/>
    </font>
    <font>
      <name val="Arial"/>
      <b val="1"/>
      <color rgb="006B6B6B"/>
      <sz val="10"/>
    </font>
    <font>
      <name val="Arial"/>
      <i val="1"/>
      <color rgb="006B6B6B"/>
      <sz val="8"/>
    </font>
    <font>
      <name val="Arial"/>
      <b val="1"/>
      <color rgb="001C5CAB"/>
      <sz val="20"/>
    </font>
    <font>
      <name val="Arial"/>
      <b val="1"/>
      <color rgb="00222222"/>
      <sz val="12"/>
    </font>
    <font>
      <name val="Arial"/>
      <b val="1"/>
      <color rgb="006B6B6B"/>
      <sz val="8"/>
    </font>
    <font>
      <name val="Arial"/>
      <b val="1"/>
      <color rgb="00222222"/>
      <sz val="17"/>
    </font>
    <font>
      <name val="Arial"/>
      <b val="1"/>
      <color rgb="001C5CAB"/>
      <sz val="13"/>
    </font>
    <font>
      <name val="Arial"/>
      <i val="1"/>
      <color rgb="00C00000"/>
      <sz val="9"/>
    </font>
    <font>
      <name val="Arial"/>
      <i val="1"/>
      <color rgb="00222222"/>
      <sz val="10"/>
    </font>
    <font>
      <name val="Arial"/>
      <b val="1"/>
      <color rgb="001C5CAB"/>
      <sz val="22"/>
    </font>
    <font>
      <name val="Arial"/>
      <b val="1"/>
      <color rgb="001C5CAB"/>
      <sz val="14"/>
    </font>
    <font>
      <name val="Arial"/>
      <b val="1"/>
      <color rgb="00FFFFFF"/>
      <sz val="14"/>
    </font>
    <font>
      <name val="Arial"/>
      <b val="1"/>
      <color rgb="00222222"/>
      <sz val="11"/>
    </font>
    <font>
      <name val="Arial"/>
      <b val="1"/>
      <color rgb="001C5CAB"/>
      <sz val="10"/>
    </font>
  </fonts>
  <fills count="8">
    <fill>
      <patternFill/>
    </fill>
    <fill>
      <patternFill patternType="gray125"/>
    </fill>
    <fill>
      <patternFill patternType="solid">
        <fgColor rgb="00FFF4C7"/>
        <bgColor rgb="00FFF4C7"/>
      </patternFill>
    </fill>
    <fill>
      <patternFill patternType="solid">
        <fgColor rgb="00EDEDED"/>
        <bgColor rgb="00EDEDED"/>
      </patternFill>
    </fill>
    <fill>
      <patternFill patternType="solid">
        <fgColor rgb="001C5CAB"/>
        <bgColor rgb="001C5CAB"/>
      </patternFill>
    </fill>
    <fill>
      <patternFill patternType="solid">
        <fgColor rgb="00FFE1E1"/>
        <bgColor rgb="00FFE1E1"/>
      </patternFill>
    </fill>
    <fill>
      <patternFill patternType="solid">
        <fgColor rgb="008C8C8C"/>
        <bgColor rgb="008C8C8C"/>
      </patternFill>
    </fill>
    <fill>
      <patternFill patternType="solid">
        <fgColor rgb="00EAF1FB"/>
        <bgColor rgb="00EAF1FB"/>
      </patternFill>
    </fill>
  </fills>
  <borders count="5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ck">
        <color rgb="00FFFFFF"/>
      </left>
      <right style="thick">
        <color rgb="00FFFFFF"/>
      </right>
    </border>
    <border>
      <left style="thick">
        <color rgb="00FFFFFF"/>
      </left>
    </border>
    <border>
      <right style="thick">
        <color rgb="00FFFFFF"/>
      </right>
    </border>
  </borders>
  <cellStyleXfs count="1">
    <xf numFmtId="0" fontId="0" fillId="0" borderId="0"/>
  </cellStyleXfs>
  <cellXfs count="84">
    <xf numFmtId="0" fontId="0" fillId="0" borderId="0" pivotButton="0" quotePrefix="0" xfId="0"/>
    <xf numFmtId="0" fontId="19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0" fillId="0" borderId="0" applyAlignment="1" pivotButton="0" quotePrefix="0" xfId="0">
      <alignment vertical="center"/>
    </xf>
    <xf numFmtId="0" fontId="21" fillId="4" borderId="0" applyAlignment="1" pivotButton="0" quotePrefix="0" xfId="0">
      <alignment horizontal="center" vertical="center"/>
    </xf>
    <xf numFmtId="0" fontId="22" fillId="0" borderId="0" applyAlignment="1" pivotButton="0" quotePrefix="0" xfId="0">
      <alignment vertical="center"/>
    </xf>
    <xf numFmtId="0" fontId="6" fillId="0" borderId="0" applyAlignment="1" pivotButton="0" quotePrefix="0" xfId="0">
      <alignment vertical="top" wrapText="1"/>
    </xf>
    <xf numFmtId="0" fontId="6" fillId="2" borderId="1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6" fillId="3" borderId="1" applyAlignment="1" pivotButton="0" quotePrefix="0" xfId="0">
      <alignment vertical="center"/>
    </xf>
    <xf numFmtId="0" fontId="6" fillId="4" borderId="1" applyAlignment="1" pivotButton="0" quotePrefix="0" xfId="0">
      <alignment vertical="center"/>
    </xf>
    <xf numFmtId="0" fontId="23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165" fontId="4" fillId="2" borderId="1" applyAlignment="1" applyProtection="1" pivotButton="0" quotePrefix="0" xfId="0">
      <alignment horizontal="center" vertical="center"/>
      <protection locked="0" hidden="0"/>
    </xf>
    <xf numFmtId="0" fontId="5" fillId="0" borderId="0" applyAlignment="1" pivotButton="0" quotePrefix="0" xfId="0">
      <alignment vertical="center"/>
    </xf>
    <xf numFmtId="167" fontId="6" fillId="3" borderId="1" applyAlignment="1" pivotButton="0" quotePrefix="0" xfId="0">
      <alignment horizontal="right" vertical="center"/>
    </xf>
    <xf numFmtId="165" fontId="6" fillId="3" borderId="1" applyAlignment="1" pivotButton="0" quotePrefix="0" xfId="0">
      <alignment horizontal="center" vertical="center"/>
    </xf>
    <xf numFmtId="1" fontId="6" fillId="3" borderId="1" applyAlignment="1" pivotButton="0" quotePrefix="0" xfId="0">
      <alignment horizontal="center" vertical="center"/>
    </xf>
    <xf numFmtId="166" fontId="6" fillId="3" borderId="1" applyAlignment="1" pivotButton="0" quotePrefix="0" xfId="0">
      <alignment horizontal="center" vertical="center"/>
    </xf>
    <xf numFmtId="49" fontId="4" fillId="2" borderId="1" applyAlignment="1" applyProtection="1" pivotButton="0" quotePrefix="0" xfId="0">
      <alignment horizontal="center" vertical="center"/>
      <protection locked="0" hidden="0"/>
    </xf>
    <xf numFmtId="0" fontId="7" fillId="4" borderId="0" applyAlignment="1" pivotButton="0" quotePrefix="0" xfId="0">
      <alignment vertical="center"/>
    </xf>
    <xf numFmtId="0" fontId="6" fillId="2" borderId="0" applyAlignment="1" applyProtection="1" pivotButton="0" quotePrefix="0" xfId="0">
      <alignment vertical="center"/>
      <protection locked="0" hidden="0"/>
    </xf>
    <xf numFmtId="4" fontId="6" fillId="2" borderId="0" applyAlignment="1" applyProtection="1" pivotButton="0" quotePrefix="0" xfId="0">
      <alignment vertical="center"/>
      <protection locked="0" hidden="0"/>
    </xf>
    <xf numFmtId="0" fontId="6" fillId="2" borderId="0" applyAlignment="1" applyProtection="1" pivotButton="0" quotePrefix="0" xfId="0">
      <alignment horizontal="center" vertical="center"/>
      <protection locked="0" hidden="0"/>
    </xf>
    <xf numFmtId="0" fontId="4" fillId="0" borderId="0" applyAlignment="1" pivotButton="0" quotePrefix="0" xfId="0">
      <alignment vertical="center"/>
    </xf>
    <xf numFmtId="166" fontId="4" fillId="3" borderId="0" applyAlignment="1" pivotButton="0" quotePrefix="0" xfId="0">
      <alignment horizontal="center" vertical="center"/>
    </xf>
    <xf numFmtId="0" fontId="8" fillId="5" borderId="0" applyAlignment="1" pivotButton="0" quotePrefix="0" xfId="0">
      <alignment vertical="center" wrapText="1"/>
    </xf>
    <xf numFmtId="0" fontId="7" fillId="4" borderId="0" applyAlignment="1" pivotButton="0" quotePrefix="0" xfId="0">
      <alignment horizontal="center" vertical="center" wrapText="1"/>
    </xf>
    <xf numFmtId="0" fontId="7" fillId="6" borderId="0" applyAlignment="1" pivotButton="0" quotePrefix="0" xfId="0">
      <alignment horizontal="center" vertical="center" wrapText="1"/>
    </xf>
    <xf numFmtId="165" fontId="6" fillId="2" borderId="0" applyAlignment="1" applyProtection="1" pivotButton="0" quotePrefix="0" xfId="0">
      <alignment horizontal="center" vertical="center"/>
      <protection locked="0" hidden="0"/>
    </xf>
    <xf numFmtId="0" fontId="9" fillId="3" borderId="0" applyAlignment="1" pivotButton="0" quotePrefix="0" xfId="0">
      <alignment horizontal="center" vertical="center"/>
    </xf>
    <xf numFmtId="167" fontId="9" fillId="3" borderId="0" applyAlignment="1" pivotButton="0" quotePrefix="0" xfId="0">
      <alignment vertical="center"/>
    </xf>
    <xf numFmtId="2" fontId="9" fillId="3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166" fontId="13" fillId="0" borderId="0" applyAlignment="1" pivotButton="0" quotePrefix="0" xfId="0">
      <alignment horizontal="left" vertical="center"/>
    </xf>
    <xf numFmtId="170" fontId="9" fillId="0" borderId="0" applyAlignment="1" pivotButton="0" quotePrefix="0" xfId="0">
      <alignment horizontal="left" vertical="center"/>
    </xf>
    <xf numFmtId="171" fontId="9" fillId="0" borderId="0" applyAlignment="1" pivotButton="0" quotePrefix="0" xfId="0">
      <alignment horizontal="left" vertical="center"/>
    </xf>
    <xf numFmtId="0" fontId="0" fillId="4" borderId="2" pivotButton="0" quotePrefix="0" xfId="0"/>
    <xf numFmtId="0" fontId="0" fillId="4" borderId="3" pivotButton="0" quotePrefix="0" xfId="0"/>
    <xf numFmtId="0" fontId="0" fillId="4" borderId="4" pivotButton="0" quotePrefix="0" xfId="0"/>
    <xf numFmtId="0" fontId="14" fillId="7" borderId="2" applyAlignment="1" pivotButton="0" quotePrefix="0" xfId="0">
      <alignment horizontal="center" vertical="center"/>
    </xf>
    <xf numFmtId="0" fontId="14" fillId="7" borderId="3" applyAlignment="1" pivotButton="0" quotePrefix="0" xfId="0">
      <alignment horizontal="center" vertical="center"/>
    </xf>
    <xf numFmtId="0" fontId="0" fillId="7" borderId="4" pivotButton="0" quotePrefix="0" xfId="0"/>
    <xf numFmtId="0" fontId="15" fillId="7" borderId="2" applyAlignment="1" pivotButton="0" quotePrefix="0" xfId="0">
      <alignment horizontal="center" vertical="center"/>
    </xf>
    <xf numFmtId="0" fontId="15" fillId="7" borderId="3" applyAlignment="1" pivotButton="0" quotePrefix="0" xfId="0">
      <alignment horizontal="center" vertical="center"/>
    </xf>
    <xf numFmtId="1" fontId="15" fillId="7" borderId="3" applyAlignment="1" pivotButton="0" quotePrefix="0" xfId="0">
      <alignment horizontal="center" vertical="center"/>
    </xf>
    <xf numFmtId="0" fontId="11" fillId="7" borderId="2" applyAlignment="1" pivotButton="0" quotePrefix="0" xfId="0">
      <alignment horizontal="center" vertical="center"/>
    </xf>
    <xf numFmtId="0" fontId="11" fillId="7" borderId="3" applyAlignment="1" pivotButton="0" quotePrefix="0" xfId="0">
      <alignment horizontal="center" vertical="center"/>
    </xf>
    <xf numFmtId="2" fontId="6" fillId="0" borderId="0" applyAlignment="1" pivotButton="0" quotePrefix="0" xfId="0">
      <alignment vertical="center"/>
    </xf>
    <xf numFmtId="1" fontId="6" fillId="0" borderId="0" applyAlignment="1" pivotButton="0" quotePrefix="0" xfId="0">
      <alignment vertical="center"/>
    </xf>
    <xf numFmtId="0" fontId="16" fillId="0" borderId="0" applyAlignment="1" pivotButton="0" quotePrefix="0" xfId="0">
      <alignment vertical="center"/>
    </xf>
    <xf numFmtId="0" fontId="7" fillId="4" borderId="1" applyAlignment="1" pivotButton="0" quotePrefix="0" xfId="0">
      <alignment horizontal="center" vertical="center"/>
    </xf>
    <xf numFmtId="0" fontId="6" fillId="0" borderId="1" applyAlignment="1" pivotButton="0" quotePrefix="0" xfId="0">
      <alignment vertical="center"/>
    </xf>
    <xf numFmtId="0" fontId="9" fillId="0" borderId="1" applyAlignment="1" pivotButton="0" quotePrefix="0" xfId="0">
      <alignment horizontal="center" vertical="center"/>
    </xf>
    <xf numFmtId="4" fontId="6" fillId="0" borderId="1" applyAlignment="1" pivotButton="0" quotePrefix="0" xfId="0">
      <alignment vertical="center"/>
    </xf>
    <xf numFmtId="167" fontId="6" fillId="0" borderId="1" applyAlignment="1" pivotButton="0" quotePrefix="0" xfId="0">
      <alignment vertical="center"/>
    </xf>
    <xf numFmtId="9" fontId="6" fillId="0" borderId="1" applyAlignment="1" pivotButton="0" quotePrefix="0" xfId="0">
      <alignment horizontal="center" vertical="center"/>
    </xf>
    <xf numFmtId="172" fontId="6" fillId="0" borderId="1" applyAlignment="1" pivotButton="0" quotePrefix="0" xfId="0">
      <alignment vertical="center"/>
    </xf>
    <xf numFmtId="173" fontId="6" fillId="0" borderId="0" applyAlignment="1" pivotButton="0" quotePrefix="0" xfId="0">
      <alignment vertical="center"/>
    </xf>
    <xf numFmtId="0" fontId="4" fillId="7" borderId="1" applyAlignment="1" pivotButton="0" quotePrefix="0" xfId="0">
      <alignment vertical="center"/>
    </xf>
    <xf numFmtId="0" fontId="6" fillId="7" borderId="1" applyAlignment="1" pivotButton="0" quotePrefix="0" xfId="0">
      <alignment vertical="center"/>
    </xf>
    <xf numFmtId="4" fontId="4" fillId="7" borderId="1" applyAlignment="1" pivotButton="0" quotePrefix="0" xfId="0">
      <alignment vertical="center"/>
    </xf>
    <xf numFmtId="167" fontId="4" fillId="7" borderId="1" applyAlignment="1" pivotButton="0" quotePrefix="0" xfId="0">
      <alignment vertical="center"/>
    </xf>
    <xf numFmtId="9" fontId="4" fillId="7" borderId="1" applyAlignment="1" pivotButton="0" quotePrefix="0" xfId="0">
      <alignment horizontal="center" vertical="center"/>
    </xf>
    <xf numFmtId="172" fontId="6" fillId="7" borderId="1" applyAlignment="1" pivotButton="0" quotePrefix="0" xfId="0">
      <alignment vertical="center"/>
    </xf>
    <xf numFmtId="0" fontId="17" fillId="0" borderId="0" applyAlignment="1" pivotButton="0" quotePrefix="0" xfId="0">
      <alignment vertical="center"/>
    </xf>
    <xf numFmtId="174" fontId="6" fillId="0" borderId="1" applyAlignment="1" pivotButton="0" quotePrefix="0" xfId="0">
      <alignment horizontal="center" vertical="center"/>
    </xf>
    <xf numFmtId="0" fontId="18" fillId="0" borderId="1" applyAlignment="1" pivotButton="0" quotePrefix="0" xfId="0">
      <alignment vertical="center"/>
    </xf>
    <xf numFmtId="174" fontId="4" fillId="7" borderId="1" applyAlignment="1" pivotButton="0" quotePrefix="0" xfId="0">
      <alignment horizontal="center" vertical="center"/>
    </xf>
    <xf numFmtId="169" fontId="6" fillId="0" borderId="1" applyAlignment="1" pivotButton="0" quotePrefix="0" xfId="0">
      <alignment horizontal="center" vertical="center"/>
    </xf>
    <xf numFmtId="4" fontId="4" fillId="0" borderId="1" applyAlignment="1" pivotButton="0" quotePrefix="0" xfId="0">
      <alignment vertical="center"/>
    </xf>
    <xf numFmtId="0" fontId="6" fillId="0" borderId="1" applyAlignment="1" pivotButton="0" quotePrefix="0" xfId="0">
      <alignment horizontal="center" vertical="center"/>
    </xf>
    <xf numFmtId="0" fontId="10" fillId="0" borderId="0" applyAlignment="1" pivotButton="0" quotePrefix="0" xfId="0">
      <alignment vertical="center"/>
    </xf>
    <xf numFmtId="0" fontId="11" fillId="0" borderId="0" applyAlignment="1" pivotButton="0" quotePrefix="0" xfId="0">
      <alignment vertical="center"/>
    </xf>
    <xf numFmtId="0" fontId="7" fillId="4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168" fontId="6" fillId="0" borderId="1" applyAlignment="1" pivotButton="0" quotePrefix="0" xfId="0">
      <alignment horizontal="center" vertical="center"/>
    </xf>
    <xf numFmtId="167" fontId="4" fillId="0" borderId="1" applyAlignment="1" pivotButton="0" quotePrefix="0" xfId="0">
      <alignment vertical="center"/>
    </xf>
    <xf numFmtId="169" fontId="9" fillId="3" borderId="1" applyAlignment="1" pivotButton="0" quotePrefix="0" xfId="0">
      <alignment horizontal="center" vertical="center"/>
    </xf>
    <xf numFmtId="167" fontId="9" fillId="3" borderId="1" applyAlignment="1" pivotButton="0" quotePrefix="0" xfId="0">
      <alignment vertical="center"/>
    </xf>
    <xf numFmtId="4" fontId="9" fillId="3" borderId="1" applyAlignment="1" pivotButton="0" quotePrefix="0" xfId="0">
      <alignment vertical="center"/>
    </xf>
  </cellXfs>
  <cellStyles count="1">
    <cellStyle name="Normal" xfId="0" builtinId="0" hidden="0"/>
  </cellStyles>
  <dxfs count="6">
    <dxf>
      <font>
        <b val="1"/>
        <color rgb="00C00000"/>
      </font>
    </dxf>
    <dxf>
      <font>
        <b val="1"/>
        <color rgb="0000843D"/>
      </font>
    </dxf>
    <dxf>
      <font>
        <b val="1"/>
        <color rgb="00B26B00"/>
      </font>
    </dxf>
    <dxf>
      <font>
        <b val="1"/>
        <color rgb="009C0006"/>
      </font>
      <fill>
        <patternFill patternType="solid">
          <fgColor rgb="00FFC7CE"/>
          <bgColor rgb="00FFC7CE"/>
        </patternFill>
      </fill>
    </dxf>
    <dxf>
      <font>
        <b val="1"/>
        <color rgb="009C5700"/>
      </font>
      <fill>
        <patternFill patternType="solid">
          <fgColor rgb="00FFEB9C"/>
          <bgColor rgb="00FFEB9C"/>
        </patternFill>
      </fill>
    </dxf>
    <dxf>
      <font>
        <b val="1"/>
        <color rgb="00006100"/>
      </font>
      <fill>
        <patternFill patternType="solid">
          <fgColor rgb="00C6EFCE"/>
          <b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Where the money goes</a:t>
            </a:r>
          </a:p>
        </rich>
      </tx>
    </title>
    <plotArea>
      <doughnutChart>
        <varyColors val="1"/>
        <ser>
          <idx val="0"/>
          <order val="0"/>
          <tx>
            <v>Spent</v>
          </tx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2A78D6"/>
              </a:solidFill>
              <a:ln xmlns:a="http://schemas.openxmlformats.org/drawingml/2006/main" w="19050">
                <a:solidFill>
                  <a:srgbClr val="FFFFFF"/>
                </a:solidFill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EB6834"/>
              </a:solidFill>
              <a:ln xmlns:a="http://schemas.openxmlformats.org/drawingml/2006/main" w="19050">
                <a:solidFill>
                  <a:srgbClr val="FFFFFF"/>
                </a:solidFill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1BAF7A"/>
              </a:solidFill>
              <a:ln xmlns:a="http://schemas.openxmlformats.org/drawingml/2006/main" w="19050">
                <a:solidFill>
                  <a:srgbClr val="FFFFFF"/>
                </a:solidFill>
                <a:prstDash val="solid"/>
              </a:ln>
            </spPr>
          </dPt>
          <dPt>
            <idx val="3"/>
            <spPr>
              <a:solidFill xmlns:a="http://schemas.openxmlformats.org/drawingml/2006/main">
                <a:srgbClr val="EDA100"/>
              </a:solidFill>
              <a:ln xmlns:a="http://schemas.openxmlformats.org/drawingml/2006/main" w="19050">
                <a:solidFill>
                  <a:srgbClr val="FFFFFF"/>
                </a:solidFill>
                <a:prstDash val="solid"/>
              </a:ln>
            </spPr>
          </dPt>
          <dPt>
            <idx val="4"/>
            <spPr>
              <a:solidFill xmlns:a="http://schemas.openxmlformats.org/drawingml/2006/main">
                <a:srgbClr val="E87BA4"/>
              </a:solidFill>
              <a:ln xmlns:a="http://schemas.openxmlformats.org/drawingml/2006/main" w="19050">
                <a:solidFill>
                  <a:srgbClr val="FFFFFF"/>
                </a:solidFill>
                <a:prstDash val="solid"/>
              </a:ln>
            </spPr>
          </dPt>
          <dPt>
            <idx val="5"/>
            <spPr>
              <a:solidFill xmlns:a="http://schemas.openxmlformats.org/drawingml/2006/main">
                <a:srgbClr val="008300"/>
              </a:solidFill>
              <a:ln xmlns:a="http://schemas.openxmlformats.org/drawingml/2006/main" w="19050">
                <a:solidFill>
                  <a:srgbClr val="FFFFFF"/>
                </a:solidFill>
                <a:prstDash val="solid"/>
              </a:ln>
            </spPr>
          </dPt>
          <dPt>
            <idx val="6"/>
            <spPr>
              <a:solidFill xmlns:a="http://schemas.openxmlformats.org/drawingml/2006/main">
                <a:srgbClr val="6250D6"/>
              </a:solidFill>
              <a:ln xmlns:a="http://schemas.openxmlformats.org/drawingml/2006/main" w="19050">
                <a:solidFill>
                  <a:srgbClr val="FFFFFF"/>
                </a:solidFill>
                <a:prstDash val="solid"/>
              </a:ln>
            </spPr>
          </dPt>
          <dPt>
            <idx val="7"/>
            <spPr>
              <a:solidFill xmlns:a="http://schemas.openxmlformats.org/drawingml/2006/main">
                <a:srgbClr val="A3A3A3"/>
              </a:solidFill>
              <a:ln xmlns:a="http://schemas.openxmlformats.org/drawingml/2006/main" w="19050">
                <a:solidFill>
                  <a:srgbClr val="FFFFFF"/>
                </a:solidFill>
                <a:prstDash val="solid"/>
              </a:ln>
            </spPr>
          </dPt>
          <cat>
            <numRef>
              <f>'Dashboard'!$K$37:$K$44</f>
            </numRef>
          </cat>
          <val>
            <numRef>
              <f>'Dashboard'!$L$37:$L$44</f>
            </numRef>
          </val>
        </ser>
        <firstSliceAng val="0"/>
        <holeSize val="55"/>
      </doughnut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Budget vs actual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'Dashboard'!D11</f>
            </strRef>
          </tx>
          <spPr>
            <a:solidFill xmlns:a="http://schemas.openxmlformats.org/drawingml/2006/main">
              <a:srgbClr val="C5CCD6"/>
            </a:solidFill>
            <a:ln xmlns:a="http://schemas.openxmlformats.org/drawingml/2006/main">
              <a:solidFill>
                <a:srgbClr val="C5CCD6"/>
              </a:solidFill>
              <a:prstDash val="solid"/>
            </a:ln>
          </spPr>
          <cat>
            <numRef>
              <f>'Dashboard'!$B$12:$B$31</f>
            </numRef>
          </cat>
          <val>
            <numRef>
              <f>'Dashboard'!$D$12:$D$31</f>
            </numRef>
          </val>
        </ser>
        <ser>
          <idx val="1"/>
          <order val="1"/>
          <tx>
            <strRef>
              <f>'Dashboard'!E11</f>
            </strRef>
          </tx>
          <spPr>
            <a:solidFill xmlns:a="http://schemas.openxmlformats.org/drawingml/2006/main">
              <a:srgbClr val="2A78D6"/>
            </a:solidFill>
            <a:ln xmlns:a="http://schemas.openxmlformats.org/drawingml/2006/main">
              <a:solidFill>
                <a:srgbClr val="2A78D6"/>
              </a:solidFill>
              <a:prstDash val="solid"/>
            </a:ln>
          </spPr>
          <cat>
            <numRef>
              <f>'Dashboard'!$B$12:$B$31</f>
            </numRef>
          </cat>
          <val>
            <numRef>
              <f>'Dashboard'!$E$12:$E$31</f>
            </numRef>
          </val>
        </ser>
        <gapWidth val="50"/>
        <overlap val="-5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spPr>
          <a:ln xmlns:a="http://schemas.openxmlformats.org/drawingml/2006/main">
            <a:solidFill>
              <a:srgbClr val="BFBFBF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800"/>
            </a:pPr>
            <a:r>
              <a:t/>
            </a:r>
            <a:endParaRPr sz="800"/>
          </a:p>
        </txPr>
        <crossAx val="100"/>
        <lblOffset val="100"/>
        <tickLblSkip val="1"/>
      </catAx>
      <valAx>
        <axId val="10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E3E3E3"/>
              </a:solidFill>
              <a:prstDash val="solid"/>
            </a:ln>
          </spPr>
        </majorGridlines>
        <numFmt formatCode="#,##0" sourceLinked="0"/>
        <majorTickMark val="none"/>
        <minorTickMark val="none"/>
        <spPr>
          <a:ln xmlns:a="http://schemas.openxmlformats.org/drawingml/2006/main">
            <a:solidFill>
              <a:srgbClr val="BFBFBF"/>
            </a:solidFill>
            <a:prstDash val="solid"/>
          </a:ln>
        </spPr>
        <crossAx val="10"/>
        <crosses val="max"/>
      </valAx>
    </plotArea>
    <legend>
      <legendPos val="b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Running balance through the month</a:t>
            </a:r>
          </a:p>
        </rich>
      </tx>
    </title>
    <plotArea>
      <lineChart>
        <grouping val="standard"/>
        <ser>
          <idx val="0"/>
          <order val="0"/>
          <tx>
            <strRef>
              <f>'Daily Flow'!I4</f>
            </strRef>
          </tx>
          <spPr>
            <a:ln xmlns:a="http://schemas.openxmlformats.org/drawingml/2006/main" w="28575">
              <a:solidFill>
                <a:srgbClr val="2A78D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'Daily Flow'!$H$5:$H$35</f>
            </numRef>
          </cat>
          <val>
            <numRef>
              <f>'Daily Flow'!$I$5:$I$35</f>
            </numRef>
          </val>
          <smooth val="0"/>
        </ser>
        <axId val="500"/>
        <axId val="100"/>
      </lineChart>
      <dateAx>
        <axId val="500"/>
        <scaling>
          <orientation val="minMax"/>
        </scaling>
        <delete val="0"/>
        <axPos val="l"/>
        <numFmt formatCode="d" sourceLinked="0"/>
        <majorTickMark val="none"/>
        <minorTickMark val="none"/>
        <spPr>
          <a:ln xmlns:a="http://schemas.openxmlformats.org/drawingml/2006/main">
            <a:solidFill>
              <a:srgbClr val="BFBFBF"/>
            </a:solidFill>
            <a:prstDash val="solid"/>
          </a:ln>
        </spPr>
        <crossAx val="100"/>
        <baseTimeUnit val="days"/>
        <majorTimeUnit val="days"/>
      </dateAx>
      <valAx>
        <axId val="10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E3E3E3"/>
              </a:solidFill>
              <a:prstDash val="solid"/>
            </a:ln>
          </spPr>
        </majorGridlines>
        <numFmt formatCode="#,##0" sourceLinked="0"/>
        <majorTickMark val="none"/>
        <minorTickMark val="none"/>
        <spPr>
          <a:ln xmlns:a="http://schemas.openxmlformats.org/drawingml/2006/main">
            <a:solidFill>
              <a:srgbClr val="BFBFBF"/>
            </a:solidFill>
            <a:prstDash val="solid"/>
          </a:ln>
        </spPr>
        <crossAx val="500"/>
      </valAx>
    </plotArea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Daily spending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'Daily Flow'!J4</f>
            </strRef>
          </tx>
          <spPr>
            <a:solidFill xmlns:a="http://schemas.openxmlformats.org/drawingml/2006/main">
              <a:srgbClr val="2A78D6"/>
            </a:solidFill>
            <a:ln xmlns:a="http://schemas.openxmlformats.org/drawingml/2006/main">
              <a:solidFill>
                <a:srgbClr val="2A78D6"/>
              </a:solidFill>
              <a:prstDash val="solid"/>
            </a:ln>
          </spPr>
          <cat>
            <numRef>
              <f>'Daily Flow'!$H$5:$H$35</f>
            </numRef>
          </cat>
          <val>
            <numRef>
              <f>'Daily Flow'!$J$5:$J$35</f>
            </numRef>
          </val>
        </ser>
        <gapWidth val="40"/>
        <axId val="500"/>
        <axId val="100"/>
      </barChart>
      <dateAx>
        <axId val="500"/>
        <scaling>
          <orientation val="minMax"/>
        </scaling>
        <delete val="0"/>
        <axPos val="l"/>
        <numFmt formatCode="d" sourceLinked="0"/>
        <majorTickMark val="none"/>
        <minorTickMark val="none"/>
        <spPr>
          <a:ln xmlns:a="http://schemas.openxmlformats.org/drawingml/2006/main">
            <a:solidFill>
              <a:srgbClr val="BFBFBF"/>
            </a:solidFill>
            <a:prstDash val="solid"/>
          </a:ln>
        </spPr>
        <crossAx val="100"/>
        <baseTimeUnit val="days"/>
        <majorTimeUnit val="days"/>
      </dateAx>
      <valAx>
        <axId val="10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E3E3E3"/>
              </a:solidFill>
              <a:prstDash val="solid"/>
            </a:ln>
          </spPr>
        </majorGridlines>
        <numFmt formatCode="#,##0" sourceLinked="0"/>
        <majorTickMark val="none"/>
        <minorTickMark val="none"/>
        <spPr>
          <a:ln xmlns:a="http://schemas.openxmlformats.org/drawingml/2006/main">
            <a:solidFill>
              <a:srgbClr val="BFBFBF"/>
            </a:solidFill>
            <a:prstDash val="solid"/>
          </a:ln>
        </spPr>
        <crossAx val="50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1</col>
      <colOff>0</colOff>
      <row>35</row>
      <rowOff>0</rowOff>
    </from>
    <ext cx="6300000" cy="3168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9</row>
      <rowOff>0</rowOff>
    </from>
    <ext cx="5112000" cy="4068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</col>
      <colOff>0</colOff>
      <row>56</row>
      <rowOff>0</rowOff>
    </from>
    <ext cx="7128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9</col>
      <colOff>0</colOff>
      <row>56</row>
      <rowOff>0</rowOff>
    </from>
    <ext cx="5112000" cy="28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Income" displayName="tblIncome" ref="B13:C16" headerRowCount="1">
  <tableColumns count="2">
    <tableColumn id="1" name="Source"/>
    <tableColumn id="2" name="Expected Amount"/>
  </tableColumns>
  <tableStyleInfo name="TableStyleMedium2" showFirstColumn="0" showLastColumn="0" showRowStripes="0" showColumnStripes="0"/>
</table>
</file>

<file path=xl/tables/table2.xml><?xml version="1.0" encoding="utf-8"?>
<table xmlns="http://schemas.openxmlformats.org/spreadsheetml/2006/main" id="2" name="tblCategories" displayName="tblCategories" ref="E13:G28" headerRowCount="1">
  <tableColumns count="3">
    <tableColumn id="1" name="Category"/>
    <tableColumn id="2" name="Monthly Budget"/>
    <tableColumn id="3" name="Type"/>
  </tableColumns>
  <tableStyleInfo name="TableStyleMedium2" showFirstColumn="0" showLastColumn="0" showRowStripes="0" showColumnStripes="0"/>
</table>
</file>

<file path=xl/tables/table3.xml><?xml version="1.0" encoding="utf-8"?>
<table xmlns="http://schemas.openxmlformats.org/spreadsheetml/2006/main" id="3" name="tblPayments" displayName="tblPayments" ref="I13:I17" headerRowCount="1">
  <tableColumns count="1">
    <tableColumn id="1" name="Method"/>
  </tableColumns>
  <tableStyleInfo name="TableStyleMedium2" showFirstColumn="0" showLastColumn="0" showRowStripes="0" showColumnStripes="0"/>
</table>
</file>

<file path=xl/tables/table4.xml><?xml version="1.0" encoding="utf-8"?>
<table xmlns="http://schemas.openxmlformats.org/spreadsheetml/2006/main" id="4" name="tblTx" displayName="tblTx" ref="A4:K204" headerRowCount="1">
  <tableColumns count="11">
    <tableColumn id="1" name="Date"/>
    <tableColumn id="2" name="Type"/>
    <tableColumn id="3" name="Category"/>
    <tableColumn id="4" name="Description"/>
    <tableColumn id="5" name="Amount"/>
    <tableColumn id="6" name="Payment Method"/>
    <tableColumn id="7" name="Notes"/>
    <tableColumn id="8" name="Day">
      <calculatedColumnFormula>IF(ISNUMBER(tblTx[[#This Row],[Date]]),DAY(tblTx[[#This Row],[Date]]),"")</calculatedColumnFormula>
    </tableColumn>
    <tableColumn id="9" name="Week">
      <calculatedColumnFormula>IF(ISNUMBER(tblTx[[#This Row],[Date]]),INT((DAY(tblTx[[#This Row],[Date]])-1)/7)+1,"")</calculatedColumnFormula>
    </tableColumn>
    <tableColumn id="10" name="Signed Amount">
      <calculatedColumnFormula>IF(ISNUMBER(tblTx[[#This Row],[Amount]]),IF(tblTx[[#This Row],[Type]]="Income",tblTx[[#This Row],[Amount]],IF(tblTx[[#This Row],[Type]]="Expense",-tblTx[[#This Row],[Amount]],0)),"")</calculatedColumnFormula>
    </tableColumn>
    <tableColumn id="11" name="Rank Key">
      <calculatedColumnFormula>IF(AND(tblTx[[#This Row],[Type]]="Expense",ISNUMBER(tblTx[[#This Row],[Amount]]),ISNUMBER(tblTx[[#This Row],[Date]])),IF(AND(tblTx[[#This Row],[Date]]&gt;=StartDate,tblTx[[#This Row],[Date]]&lt;=EndDate),tblTx[[#This Row],[Amount]]-ROW()/10^7,""),"")</calculatedColumnFormula>
    </tableColumn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/Relationships>
</file>

<file path=xl/worksheets/_rels/sheet3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1C5CAB"/>
    <outlinePr summaryBelow="1" summaryRight="1"/>
    <pageSetUpPr/>
  </sheetPr>
  <dimension ref="B2:C29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6" customWidth="1" min="2" max="2"/>
    <col width="100" customWidth="1" min="3" max="3"/>
  </cols>
  <sheetData>
    <row r="2">
      <c r="B2" s="1" t="inlineStr">
        <is>
          <t>Monthly Budget Tracker</t>
        </is>
      </c>
    </row>
    <row r="3">
      <c r="B3" s="2" t="inlineStr">
        <is>
          <t>See where your money goes, how much is left, and whether you're on budget — from the 1st to the last day of the month.</t>
        </is>
      </c>
    </row>
    <row r="5">
      <c r="B5" s="3" t="inlineStr">
        <is>
          <t>How to use it</t>
        </is>
      </c>
    </row>
    <row r="6" ht="22" customHeight="1">
      <c r="B6" s="4" t="n">
        <v>1</v>
      </c>
      <c r="C6" s="5" t="inlineStr">
        <is>
          <t>Set the month</t>
        </is>
      </c>
    </row>
    <row r="7" ht="48" customHeight="1">
      <c r="C7" s="6" t="inlineStr">
        <is>
          <t>Open the Setup sheet. In the yellow 'Month start date' cell type the 1st day of the month (e.g. 1-Nov-2026) and choose your currency symbol. Dates, day counts and charts adjust by themselves.</t>
        </is>
      </c>
    </row>
    <row r="9" ht="22" customHeight="1">
      <c r="B9" s="4" t="n">
        <v>2</v>
      </c>
      <c r="C9" s="5" t="inlineStr">
        <is>
          <t>Enter your income and budgets</t>
        </is>
      </c>
    </row>
    <row r="10" ht="33" customHeight="1">
      <c r="C10" s="6" t="inlineStr">
        <is>
          <t>Still on Setup: list your income sources with the amount you expect, then give each expense category a monthly budget. Rename, add or remove rows freely — the dropdowns follow.</t>
        </is>
      </c>
    </row>
    <row r="12" ht="22" customHeight="1">
      <c r="B12" s="4" t="n">
        <v>3</v>
      </c>
      <c r="C12" s="5" t="inlineStr">
        <is>
          <t>Log your expenses every day</t>
        </is>
      </c>
    </row>
    <row r="13" ht="48" customHeight="1">
      <c r="C13" s="6" t="inlineStr">
        <is>
          <t>On Transactions, add one row per income or expense: Date, Type, Category, Description, Amount, Payment method. Pick Type first — the Category list then shows income sources or expense categories. First delete the 20 sample rows: select A5:G24 and press Delete.</t>
        </is>
      </c>
    </row>
    <row r="15" ht="22" customHeight="1">
      <c r="B15" s="4" t="n">
        <v>4</v>
      </c>
      <c r="C15" s="5" t="inlineStr">
        <is>
          <t>Check the Dashboard</t>
        </is>
      </c>
    </row>
    <row r="16" ht="48" customHeight="1">
      <c r="C16" s="6" t="inlineStr">
        <is>
          <t>Totals, what's left, % of income spent, budget vs actual for every category, charts and your 5 biggest expenses — all update on their own. Daily Flow shows the numbers behind the daily charts.</t>
        </is>
      </c>
    </row>
    <row r="18">
      <c r="B18" s="3" t="inlineStr">
        <is>
          <t>Color legend</t>
        </is>
      </c>
    </row>
    <row r="19" ht="20" customHeight="1">
      <c r="B19" s="7" t="n"/>
      <c r="C19" s="8" t="inlineStr">
        <is>
          <t>Light yellow = input cells. Type or change these.</t>
        </is>
      </c>
    </row>
    <row r="20" ht="20" customHeight="1">
      <c r="B20" s="9" t="n"/>
      <c r="C20" s="8" t="inlineStr">
        <is>
          <t>Grey = automatic. Don't type over these — they contain formulas.</t>
        </is>
      </c>
    </row>
    <row r="21" ht="20" customHeight="1">
      <c r="B21" s="10" t="n"/>
      <c r="C21" s="8" t="inlineStr">
        <is>
          <t>Blue = headings and table headers.</t>
        </is>
      </c>
    </row>
    <row r="23">
      <c r="B23" s="3" t="inlineStr">
        <is>
          <t>Good to know</t>
        </is>
      </c>
    </row>
    <row r="24" ht="33" customHeight="1">
      <c r="B24" s="11" t="inlineStr">
        <is>
          <t>•</t>
        </is>
      </c>
      <c r="C24" s="12" t="inlineStr">
        <is>
          <t>Add an income source, category or payment method by typing in the empty row directly under its table on Setup.</t>
        </is>
      </c>
    </row>
    <row r="25" ht="18" customHeight="1">
      <c r="B25" s="11" t="inlineStr">
        <is>
          <t>•</t>
        </is>
      </c>
      <c r="C25" s="12" t="inlineStr">
        <is>
          <t>The Dashboard shows up to 20 expense categories (15 are pre-filled, so 5 slots are free).</t>
        </is>
      </c>
    </row>
    <row r="26" ht="33" customHeight="1">
      <c r="B26" s="11" t="inlineStr">
        <is>
          <t>•</t>
        </is>
      </c>
      <c r="C26" s="12" t="inlineStr">
        <is>
          <t>Transactions dated outside the selected month are rejected when typed, and ignored by the Dashboard if pasted in.</t>
        </is>
      </c>
    </row>
    <row r="27" ht="33" customHeight="1">
      <c r="B27" s="11" t="inlineStr">
        <is>
          <t>•</t>
        </is>
      </c>
      <c r="C27" s="12" t="inlineStr">
        <is>
          <t>New month? Save a copy of the file, clear the yellow cells on Transactions, and change the Month start date on Setup.</t>
        </is>
      </c>
    </row>
    <row r="28" ht="33" customHeight="1">
      <c r="B28" s="11" t="inlineStr">
        <is>
          <t>•</t>
        </is>
      </c>
      <c r="C28" s="12" t="inlineStr">
        <is>
          <t>Dashboard and Daily Flow are protected against accidental edits (no password: Review ▸ Unprotect Sheet).</t>
        </is>
      </c>
    </row>
    <row r="29" ht="33" customHeight="1">
      <c r="B29" s="11" t="inlineStr">
        <is>
          <t>•</t>
        </is>
      </c>
      <c r="C29" s="12" t="inlineStr">
        <is>
          <t>'Days left' and 'Average daily spend' use today's date while the month is in progress, and the full month otherwise.</t>
        </is>
      </c>
    </row>
  </sheetData>
  <mergeCells count="4">
    <mergeCell ref="B12:B13"/>
    <mergeCell ref="B6:B7"/>
    <mergeCell ref="B9:B10"/>
    <mergeCell ref="B15:B1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F2C200"/>
    <outlinePr summaryBelow="1" summaryRight="1"/>
    <pageSetUpPr/>
  </sheetPr>
  <dimension ref="B1:J28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6" customWidth="1" min="2" max="2"/>
    <col width="16" customWidth="1" min="3" max="3"/>
    <col width="3" customWidth="1" min="4" max="4"/>
    <col width="26" customWidth="1" min="5" max="5"/>
    <col width="16" customWidth="1" min="6" max="6"/>
    <col width="12" customWidth="1" min="7" max="7"/>
    <col width="3" customWidth="1" min="8" max="8"/>
    <col width="26" customWidth="1" min="9" max="9"/>
    <col width="14" customWidth="1" min="10" max="10"/>
  </cols>
  <sheetData>
    <row r="1">
      <c r="B1" s="13" t="inlineStr">
        <is>
          <t>Setup</t>
        </is>
      </c>
    </row>
    <row r="2">
      <c r="B2" s="2" t="inlineStr">
        <is>
          <t>Fill in the yellow cells. Grey cells calculate on their own. To add a row to any table, just type in the empty row directly below it.</t>
        </is>
      </c>
    </row>
    <row r="4">
      <c r="B4" s="14" t="inlineStr">
        <is>
          <t>1. Month &amp; currency</t>
        </is>
      </c>
      <c r="I4" s="14" t="inlineStr">
        <is>
          <t>At a glance (automatic)</t>
        </is>
      </c>
    </row>
    <row r="5">
      <c r="B5" s="15" t="inlineStr">
        <is>
          <t>Month start date</t>
        </is>
      </c>
      <c r="C5" s="16" t="n">
        <v>46327</v>
      </c>
      <c r="E5" s="17" t="inlineStr">
        <is>
          <t>Type the 1st of the month, e.g. 1-Nov-2026</t>
        </is>
      </c>
      <c r="I5" s="15" t="str">
        <f>"Expected income ("&amp;CurSym&amp;")"</f>
        <v>Expected income ($)</v>
      </c>
      <c r="J5" s="18">
        <f>SUM(tblIncome[Expected Amount])</f>
        <v>5300</v>
      </c>
    </row>
    <row r="6">
      <c r="B6" s="15" t="inlineStr">
        <is>
          <t>Month end date</t>
        </is>
      </c>
      <c r="C6" s="19">
        <f>EOMONTH(C5,0)</f>
        <v>46356</v>
      </c>
      <c r="E6" s="17" t="inlineStr">
        <is>
          <t>Automatic (last day of that month)</t>
        </is>
      </c>
      <c r="I6" s="15" t="str">
        <f>"Total monthly budget ("&amp;CurSym&amp;")"</f>
        <v>Total monthly budget ($)</v>
      </c>
      <c r="J6" s="18">
        <f>SUM(tblCategories[Monthly Budget])</f>
        <v>4305</v>
      </c>
    </row>
    <row r="7">
      <c r="B7" s="15" t="inlineStr">
        <is>
          <t>Days in month</t>
        </is>
      </c>
      <c r="C7" s="20">
        <f>C6-C5+1</f>
        <v>30</v>
      </c>
      <c r="E7" s="17" t="inlineStr">
        <is>
          <t>Automatic</t>
        </is>
      </c>
      <c r="I7" s="15" t="str">
        <f>"Planned surplus ("&amp;CurSym&amp;")"</f>
        <v>Planned surplus ($)</v>
      </c>
      <c r="J7" s="18">
        <f>J5-J6</f>
        <v>995</v>
      </c>
    </row>
    <row r="8">
      <c r="B8" s="15" t="inlineStr">
        <is>
          <t>Month being tracked</t>
        </is>
      </c>
      <c r="C8" s="21">
        <f>C5</f>
        <v>46327</v>
      </c>
      <c r="E8" s="17" t="inlineStr">
        <is>
          <t>Automatic</t>
        </is>
      </c>
    </row>
    <row r="9">
      <c r="B9" s="15" t="inlineStr">
        <is>
          <t>Currency symbol</t>
        </is>
      </c>
      <c r="C9" s="22" t="inlineStr">
        <is>
          <t>$</t>
        </is>
      </c>
      <c r="E9" s="17" t="inlineStr">
        <is>
          <t>Any symbol or code: $, €, £, ₹, AED …</t>
        </is>
      </c>
    </row>
    <row r="11">
      <c r="B11" s="14" t="inlineStr">
        <is>
          <t>2. Income sources</t>
        </is>
      </c>
      <c r="E11" s="14" t="inlineStr">
        <is>
          <t>3. Expense categories</t>
        </is>
      </c>
      <c r="I11" s="14" t="inlineStr">
        <is>
          <t>4. Payment methods</t>
        </is>
      </c>
    </row>
    <row r="12">
      <c r="B12" s="17" t="inlineStr">
        <is>
          <t>Where your money comes from and how much you expect.</t>
        </is>
      </c>
      <c r="E12" s="17" t="inlineStr">
        <is>
          <t>Budget per category. The first 20 show on the Dashboard.</t>
        </is>
      </c>
      <c r="I12" s="17" t="inlineStr">
        <is>
          <t>How you pay.</t>
        </is>
      </c>
    </row>
    <row r="13">
      <c r="B13" s="23" t="inlineStr">
        <is>
          <t>Source</t>
        </is>
      </c>
      <c r="C13" s="23" t="inlineStr">
        <is>
          <t>Expected Amount</t>
        </is>
      </c>
      <c r="E13" s="23" t="inlineStr">
        <is>
          <t>Category</t>
        </is>
      </c>
      <c r="F13" s="23" t="inlineStr">
        <is>
          <t>Monthly Budget</t>
        </is>
      </c>
      <c r="G13" s="23" t="inlineStr">
        <is>
          <t>Type</t>
        </is>
      </c>
      <c r="I13" s="23" t="inlineStr">
        <is>
          <t>Method</t>
        </is>
      </c>
    </row>
    <row r="14">
      <c r="B14" s="24" t="inlineStr">
        <is>
          <t>Salary</t>
        </is>
      </c>
      <c r="C14" s="25" t="n">
        <v>4500</v>
      </c>
      <c r="E14" s="24" t="inlineStr">
        <is>
          <t>Rent</t>
        </is>
      </c>
      <c r="F14" s="25" t="n">
        <v>1400</v>
      </c>
      <c r="G14" s="26" t="inlineStr">
        <is>
          <t>Fixed</t>
        </is>
      </c>
      <c r="I14" s="24" t="inlineStr">
        <is>
          <t>Cash</t>
        </is>
      </c>
    </row>
    <row r="15">
      <c r="B15" s="24" t="inlineStr">
        <is>
          <t>Freelance</t>
        </is>
      </c>
      <c r="C15" s="25" t="n">
        <v>800</v>
      </c>
      <c r="E15" s="24" t="inlineStr">
        <is>
          <t>Utilities</t>
        </is>
      </c>
      <c r="F15" s="25" t="n">
        <v>180</v>
      </c>
      <c r="G15" s="26" t="inlineStr">
        <is>
          <t>Variable</t>
        </is>
      </c>
      <c r="I15" s="24" t="inlineStr">
        <is>
          <t>Card</t>
        </is>
      </c>
    </row>
    <row r="16">
      <c r="B16" s="24" t="inlineStr">
        <is>
          <t>Other</t>
        </is>
      </c>
      <c r="C16" s="25" t="n">
        <v>0</v>
      </c>
      <c r="E16" s="24" t="inlineStr">
        <is>
          <t>Internet &amp; Phone</t>
        </is>
      </c>
      <c r="F16" s="25" t="n">
        <v>90</v>
      </c>
      <c r="G16" s="26" t="inlineStr">
        <is>
          <t>Fixed</t>
        </is>
      </c>
      <c r="I16" s="24" t="inlineStr">
        <is>
          <t>Bank Transfer</t>
        </is>
      </c>
    </row>
    <row r="17">
      <c r="E17" s="24" t="inlineStr">
        <is>
          <t>Groceries</t>
        </is>
      </c>
      <c r="F17" s="25" t="n">
        <v>500</v>
      </c>
      <c r="G17" s="26" t="inlineStr">
        <is>
          <t>Variable</t>
        </is>
      </c>
      <c r="I17" s="24" t="inlineStr">
        <is>
          <t>Wallet</t>
        </is>
      </c>
    </row>
    <row r="18">
      <c r="E18" s="24" t="inlineStr">
        <is>
          <t>Transport/Fuel</t>
        </is>
      </c>
      <c r="F18" s="25" t="n">
        <v>220</v>
      </c>
      <c r="G18" s="26" t="inlineStr">
        <is>
          <t>Variable</t>
        </is>
      </c>
    </row>
    <row r="19">
      <c r="E19" s="24" t="inlineStr">
        <is>
          <t>Dining Out</t>
        </is>
      </c>
      <c r="F19" s="25" t="n">
        <v>200</v>
      </c>
      <c r="G19" s="26" t="inlineStr">
        <is>
          <t>Variable</t>
        </is>
      </c>
    </row>
    <row r="20">
      <c r="E20" s="24" t="inlineStr">
        <is>
          <t>Health</t>
        </is>
      </c>
      <c r="F20" s="25" t="n">
        <v>100</v>
      </c>
      <c r="G20" s="26" t="inlineStr">
        <is>
          <t>Variable</t>
        </is>
      </c>
    </row>
    <row r="21">
      <c r="E21" s="24" t="inlineStr">
        <is>
          <t>Shopping</t>
        </is>
      </c>
      <c r="F21" s="25" t="n">
        <v>200</v>
      </c>
      <c r="G21" s="26" t="inlineStr">
        <is>
          <t>Variable</t>
        </is>
      </c>
    </row>
    <row r="22">
      <c r="E22" s="24" t="inlineStr">
        <is>
          <t>Entertainment</t>
        </is>
      </c>
      <c r="F22" s="25" t="n">
        <v>120</v>
      </c>
      <c r="G22" s="26" t="inlineStr">
        <is>
          <t>Variable</t>
        </is>
      </c>
    </row>
    <row r="23">
      <c r="E23" s="24" t="inlineStr">
        <is>
          <t>Subscriptions</t>
        </is>
      </c>
      <c r="F23" s="25" t="n">
        <v>45</v>
      </c>
      <c r="G23" s="26" t="inlineStr">
        <is>
          <t>Fixed</t>
        </is>
      </c>
    </row>
    <row r="24">
      <c r="E24" s="24" t="inlineStr">
        <is>
          <t>Education</t>
        </is>
      </c>
      <c r="F24" s="25" t="n">
        <v>100</v>
      </c>
      <c r="G24" s="26" t="inlineStr">
        <is>
          <t>Fixed</t>
        </is>
      </c>
    </row>
    <row r="25">
      <c r="E25" s="24" t="inlineStr">
        <is>
          <t>Savings</t>
        </is>
      </c>
      <c r="F25" s="25" t="n">
        <v>600</v>
      </c>
      <c r="G25" s="26" t="inlineStr">
        <is>
          <t>Fixed</t>
        </is>
      </c>
    </row>
    <row r="26">
      <c r="E26" s="24" t="inlineStr">
        <is>
          <t>Debt Payments</t>
        </is>
      </c>
      <c r="F26" s="25" t="n">
        <v>350</v>
      </c>
      <c r="G26" s="26" t="inlineStr">
        <is>
          <t>Fixed</t>
        </is>
      </c>
    </row>
    <row r="27">
      <c r="E27" s="24" t="inlineStr">
        <is>
          <t>Gifts/Family</t>
        </is>
      </c>
      <c r="F27" s="25" t="n">
        <v>100</v>
      </c>
      <c r="G27" s="26" t="inlineStr">
        <is>
          <t>Variable</t>
        </is>
      </c>
    </row>
    <row r="28">
      <c r="E28" s="24" t="inlineStr">
        <is>
          <t>Miscellaneous</t>
        </is>
      </c>
      <c r="F28" s="25" t="n">
        <v>100</v>
      </c>
      <c r="G28" s="26" t="inlineStr">
        <is>
          <t>Variable</t>
        </is>
      </c>
    </row>
  </sheetData>
  <dataValidations count="3">
    <dataValidation sqref="C5" showDropDown="0" showInputMessage="1" showErrorMessage="1" allowBlank="1" errorTitle="Use the 1st of the month" error="Please enter the FIRST day of the month you want to track, e.g. 1-Nov-2026." promptTitle="Month start date" prompt="Enter the 1st day of the month (e.g. 1-Nov-2026)." type="custom">
      <formula1>AND(ISNUMBER(C5),DAY(C5)=1)</formula1>
    </dataValidation>
    <dataValidation sqref="C14:C300 F14:F300" showDropDown="0" showInputMessage="1" showErrorMessage="1" allowBlank="1" errorTitle="Amount" error="Please enter a number of 0 or more." type="decimal" operator="greaterThanOrEqual">
      <formula1>0</formula1>
    </dataValidation>
    <dataValidation sqref="G14:G300" showDropDown="0" showInputMessage="1" showErrorMessage="1" allowBlank="1" errorTitle="Type" error="Choose Fixed or Variable from the list." type="list">
      <formula1>"Fixed,Variable"</formula1>
    </dataValidation>
  </dataValidations>
  <pageMargins left="0.75" right="0.75" top="1" bottom="1" header="0.5" footer="0.5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3.xml><?xml version="1.0" encoding="utf-8"?>
<worksheet xmlns="http://schemas.openxmlformats.org/spreadsheetml/2006/main">
  <sheetPr>
    <tabColor rgb="00F2C200"/>
    <outlinePr summaryBelow="1" summaryRight="1"/>
    <pageSetUpPr/>
  </sheetPr>
  <dimension ref="A1:K2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20" customWidth="1" min="3" max="3"/>
    <col width="34" customWidth="1" min="4" max="4"/>
    <col width="13" customWidth="1" min="5" max="5"/>
    <col width="17" customWidth="1" min="6" max="6"/>
    <col width="30" customWidth="1" min="7" max="7"/>
    <col width="7" customWidth="1" min="8" max="8"/>
    <col width="8" customWidth="1" min="9" max="9"/>
    <col width="16" customWidth="1" min="10" max="10"/>
    <col hidden="1" width="10" customWidth="1" min="11" max="11"/>
  </cols>
  <sheetData>
    <row r="1">
      <c r="A1" s="13" t="inlineStr">
        <is>
          <t>Transactions</t>
        </is>
      </c>
    </row>
    <row r="2">
      <c r="A2" s="27" t="inlineStr">
        <is>
          <t>Month being tracked:</t>
        </is>
      </c>
      <c r="C2" s="28">
        <f>StartDate</f>
        <v>46327</v>
      </c>
      <c r="D2" s="17" t="inlineStr">
        <is>
          <t xml:space="preserve">  One row per income or expense. Pick Type first, then Category.</t>
        </is>
      </c>
    </row>
    <row r="3" ht="30" customHeight="1">
      <c r="A3" s="29" t="inlineStr">
        <is>
          <t>SAMPLE DATA  ▸  The 20 example rows below are only there to show how it works. Before you start: select cells A5:G24 and press Delete (clear the yellow columns only).</t>
        </is>
      </c>
    </row>
    <row r="4" ht="30" customHeight="1">
      <c r="A4" s="30" t="inlineStr">
        <is>
          <t>Date</t>
        </is>
      </c>
      <c r="B4" s="30" t="inlineStr">
        <is>
          <t>Type</t>
        </is>
      </c>
      <c r="C4" s="30" t="inlineStr">
        <is>
          <t>Category</t>
        </is>
      </c>
      <c r="D4" s="30" t="inlineStr">
        <is>
          <t>Description</t>
        </is>
      </c>
      <c r="E4" s="30" t="inlineStr">
        <is>
          <t>Amount</t>
        </is>
      </c>
      <c r="F4" s="30" t="inlineStr">
        <is>
          <t>Payment Method</t>
        </is>
      </c>
      <c r="G4" s="30" t="inlineStr">
        <is>
          <t>Notes</t>
        </is>
      </c>
      <c r="H4" s="31" t="inlineStr">
        <is>
          <t>Day</t>
        </is>
      </c>
      <c r="I4" s="31" t="inlineStr">
        <is>
          <t>Week</t>
        </is>
      </c>
      <c r="J4" s="31" t="inlineStr">
        <is>
          <t>Signed Amount</t>
        </is>
      </c>
      <c r="K4" s="31" t="inlineStr">
        <is>
          <t>Rank Key</t>
        </is>
      </c>
    </row>
    <row r="5">
      <c r="A5" s="32" t="n">
        <v>46327</v>
      </c>
      <c r="B5" s="26" t="inlineStr">
        <is>
          <t>Income</t>
        </is>
      </c>
      <c r="C5" s="24" t="inlineStr">
        <is>
          <t>Salary</t>
        </is>
      </c>
      <c r="D5" s="24" t="inlineStr">
        <is>
          <t>Monthly salary</t>
        </is>
      </c>
      <c r="E5" s="25" t="n">
        <v>4500</v>
      </c>
      <c r="F5" s="24" t="inlineStr">
        <is>
          <t>Bank Transfer</t>
        </is>
      </c>
      <c r="G5" s="24" t="inlineStr"/>
      <c r="H5" s="33">
        <f>IF(ISNUMBER(tblTx[[#This Row],[Date]]),DAY(tblTx[[#This Row],[Date]]),"")</f>
        <v>1</v>
      </c>
      <c r="I5" s="33">
        <f>IF(ISNUMBER(tblTx[[#This Row],[Date]]),INT((DAY(tblTx[[#This Row],[Date]])-1)/7)+1,"")</f>
        <v>1</v>
      </c>
      <c r="J5" s="34">
        <f>IF(ISNUMBER(tblTx[[#This Row],[Amount]]),IF(tblTx[[#This Row],[Type]]="Income",tblTx[[#This Row],[Amount]],IF(tblTx[[#This Row],[Type]]="Expense",-tblTx[[#This Row],[Amount]],0)),"")</f>
        <v>4500</v>
      </c>
      <c r="K5" s="35" t="str">
        <f>IF(AND(tblTx[[#This Row],[Type]]="Expense",ISNUMBER(tblTx[[#This Row],[Amount]]),ISNUMBER(tblTx[[#This Row],[Date]])),IF(AND(tblTx[[#This Row],[Date]]&gt;=StartDate,tblTx[[#This Row],[Date]]&lt;=EndDate),tblTx[[#This Row],[Amount]]-ROW()/10^7,""),"")</f>
        <v/>
      </c>
    </row>
    <row r="6">
      <c r="A6" s="32" t="n">
        <v>46327</v>
      </c>
      <c r="B6" s="26" t="inlineStr">
        <is>
          <t>Expense</t>
        </is>
      </c>
      <c r="C6" s="24" t="inlineStr">
        <is>
          <t>Rent</t>
        </is>
      </c>
      <c r="D6" s="24" t="inlineStr">
        <is>
          <t>November rent</t>
        </is>
      </c>
      <c r="E6" s="25" t="n">
        <v>1400</v>
      </c>
      <c r="F6" s="24" t="inlineStr">
        <is>
          <t>Bank Transfer</t>
        </is>
      </c>
      <c r="G6" s="24" t="inlineStr">
        <is>
          <t>Paid on time</t>
        </is>
      </c>
      <c r="H6" s="33">
        <f>IF(ISNUMBER(tblTx[[#This Row],[Date]]),DAY(tblTx[[#This Row],[Date]]),"")</f>
        <v>1</v>
      </c>
      <c r="I6" s="33">
        <f>IF(ISNUMBER(tblTx[[#This Row],[Date]]),INT((DAY(tblTx[[#This Row],[Date]])-1)/7)+1,"")</f>
        <v>1</v>
      </c>
      <c r="J6" s="34">
        <f>IF(ISNUMBER(tblTx[[#This Row],[Amount]]),IF(tblTx[[#This Row],[Type]]="Income",tblTx[[#This Row],[Amount]],IF(tblTx[[#This Row],[Type]]="Expense",-tblTx[[#This Row],[Amount]],0)),"")</f>
        <v>-1400</v>
      </c>
      <c r="K6" s="35">
        <f>IF(AND(tblTx[[#This Row],[Type]]="Expense",ISNUMBER(tblTx[[#This Row],[Amount]]),ISNUMBER(tblTx[[#This Row],[Date]])),IF(AND(tblTx[[#This Row],[Date]]&gt;=StartDate,tblTx[[#This Row],[Date]]&lt;=EndDate),tblTx[[#This Row],[Amount]]-ROW()/10^7,""),"")</f>
        <v>1399.9999994</v>
      </c>
    </row>
    <row r="7">
      <c r="A7" s="32" t="n">
        <v>46328</v>
      </c>
      <c r="B7" s="26" t="inlineStr">
        <is>
          <t>Expense</t>
        </is>
      </c>
      <c r="C7" s="24" t="inlineStr">
        <is>
          <t>Groceries</t>
        </is>
      </c>
      <c r="D7" s="24" t="inlineStr">
        <is>
          <t>Weekly groceries - supermarket</t>
        </is>
      </c>
      <c r="E7" s="25" t="n">
        <v>112.4</v>
      </c>
      <c r="F7" s="24" t="inlineStr">
        <is>
          <t>Card</t>
        </is>
      </c>
      <c r="G7" s="24" t="inlineStr"/>
      <c r="H7" s="33">
        <f>IF(ISNUMBER(tblTx[[#This Row],[Date]]),DAY(tblTx[[#This Row],[Date]]),"")</f>
        <v>2</v>
      </c>
      <c r="I7" s="33">
        <f>IF(ISNUMBER(tblTx[[#This Row],[Date]]),INT((DAY(tblTx[[#This Row],[Date]])-1)/7)+1,"")</f>
        <v>1</v>
      </c>
      <c r="J7" s="34">
        <f>IF(ISNUMBER(tblTx[[#This Row],[Amount]]),IF(tblTx[[#This Row],[Type]]="Income",tblTx[[#This Row],[Amount]],IF(tblTx[[#This Row],[Type]]="Expense",-tblTx[[#This Row],[Amount]],0)),"")</f>
        <v>-112.4</v>
      </c>
      <c r="K7" s="35">
        <f>IF(AND(tblTx[[#This Row],[Type]]="Expense",ISNUMBER(tblTx[[#This Row],[Amount]]),ISNUMBER(tblTx[[#This Row],[Date]])),IF(AND(tblTx[[#This Row],[Date]]&gt;=StartDate,tblTx[[#This Row],[Date]]&lt;=EndDate),tblTx[[#This Row],[Amount]]-ROW()/10^7,""),"")</f>
        <v>112.3999993</v>
      </c>
    </row>
    <row r="8">
      <c r="A8" s="32" t="n">
        <v>46329</v>
      </c>
      <c r="B8" s="26" t="inlineStr">
        <is>
          <t>Expense</t>
        </is>
      </c>
      <c r="C8" s="24" t="inlineStr">
        <is>
          <t>Subscriptions</t>
        </is>
      </c>
      <c r="D8" s="24" t="inlineStr">
        <is>
          <t>Streaming + music</t>
        </is>
      </c>
      <c r="E8" s="25" t="n">
        <v>24.98</v>
      </c>
      <c r="F8" s="24" t="inlineStr">
        <is>
          <t>Card</t>
        </is>
      </c>
      <c r="G8" s="24" t="inlineStr">
        <is>
          <t>Auto-renew</t>
        </is>
      </c>
      <c r="H8" s="33">
        <f>IF(ISNUMBER(tblTx[[#This Row],[Date]]),DAY(tblTx[[#This Row],[Date]]),"")</f>
        <v>3</v>
      </c>
      <c r="I8" s="33">
        <f>IF(ISNUMBER(tblTx[[#This Row],[Date]]),INT((DAY(tblTx[[#This Row],[Date]])-1)/7)+1,"")</f>
        <v>1</v>
      </c>
      <c r="J8" s="34">
        <f>IF(ISNUMBER(tblTx[[#This Row],[Amount]]),IF(tblTx[[#This Row],[Type]]="Income",tblTx[[#This Row],[Amount]],IF(tblTx[[#This Row],[Type]]="Expense",-tblTx[[#This Row],[Amount]],0)),"")</f>
        <v>-24.98</v>
      </c>
      <c r="K8" s="35">
        <f>IF(AND(tblTx[[#This Row],[Type]]="Expense",ISNUMBER(tblTx[[#This Row],[Amount]]),ISNUMBER(tblTx[[#This Row],[Date]])),IF(AND(tblTx[[#This Row],[Date]]&gt;=StartDate,tblTx[[#This Row],[Date]]&lt;=EndDate),tblTx[[#This Row],[Amount]]-ROW()/10^7,""),"")</f>
        <v>24.9799992</v>
      </c>
    </row>
    <row r="9">
      <c r="A9" s="32" t="n">
        <v>46330</v>
      </c>
      <c r="B9" s="26" t="inlineStr">
        <is>
          <t>Expense</t>
        </is>
      </c>
      <c r="C9" s="24" t="inlineStr">
        <is>
          <t>Transport/Fuel</t>
        </is>
      </c>
      <c r="D9" s="24" t="inlineStr">
        <is>
          <t>Fuel top-up</t>
        </is>
      </c>
      <c r="E9" s="25" t="n">
        <v>55</v>
      </c>
      <c r="F9" s="24" t="inlineStr">
        <is>
          <t>Card</t>
        </is>
      </c>
      <c r="G9" s="24" t="inlineStr"/>
      <c r="H9" s="33">
        <f>IF(ISNUMBER(tblTx[[#This Row],[Date]]),DAY(tblTx[[#This Row],[Date]]),"")</f>
        <v>4</v>
      </c>
      <c r="I9" s="33">
        <f>IF(ISNUMBER(tblTx[[#This Row],[Date]]),INT((DAY(tblTx[[#This Row],[Date]])-1)/7)+1,"")</f>
        <v>1</v>
      </c>
      <c r="J9" s="34">
        <f>IF(ISNUMBER(tblTx[[#This Row],[Amount]]),IF(tblTx[[#This Row],[Type]]="Income",tblTx[[#This Row],[Amount]],IF(tblTx[[#This Row],[Type]]="Expense",-tblTx[[#This Row],[Amount]],0)),"")</f>
        <v>-55</v>
      </c>
      <c r="K9" s="35">
        <f>IF(AND(tblTx[[#This Row],[Type]]="Expense",ISNUMBER(tblTx[[#This Row],[Amount]]),ISNUMBER(tblTx[[#This Row],[Date]])),IF(AND(tblTx[[#This Row],[Date]]&gt;=StartDate,tblTx[[#This Row],[Date]]&lt;=EndDate),tblTx[[#This Row],[Amount]]-ROW()/10^7,""),"")</f>
        <v>54.9999991</v>
      </c>
    </row>
    <row r="10">
      <c r="A10" s="32" t="n">
        <v>46331</v>
      </c>
      <c r="B10" s="26" t="inlineStr">
        <is>
          <t>Expense</t>
        </is>
      </c>
      <c r="C10" s="24" t="inlineStr">
        <is>
          <t>Utilities</t>
        </is>
      </c>
      <c r="D10" s="24" t="inlineStr">
        <is>
          <t>Electricity bill</t>
        </is>
      </c>
      <c r="E10" s="25" t="n">
        <v>96.3</v>
      </c>
      <c r="F10" s="24" t="inlineStr">
        <is>
          <t>Bank Transfer</t>
        </is>
      </c>
      <c r="G10" s="24" t="inlineStr"/>
      <c r="H10" s="33">
        <f>IF(ISNUMBER(tblTx[[#This Row],[Date]]),DAY(tblTx[[#This Row],[Date]]),"")</f>
        <v>5</v>
      </c>
      <c r="I10" s="33">
        <f>IF(ISNUMBER(tblTx[[#This Row],[Date]]),INT((DAY(tblTx[[#This Row],[Date]])-1)/7)+1,"")</f>
        <v>1</v>
      </c>
      <c r="J10" s="34">
        <f>IF(ISNUMBER(tblTx[[#This Row],[Amount]]),IF(tblTx[[#This Row],[Type]]="Income",tblTx[[#This Row],[Amount]],IF(tblTx[[#This Row],[Type]]="Expense",-tblTx[[#This Row],[Amount]],0)),"")</f>
        <v>-96.3</v>
      </c>
      <c r="K10" s="35">
        <f>IF(AND(tblTx[[#This Row],[Type]]="Expense",ISNUMBER(tblTx[[#This Row],[Amount]]),ISNUMBER(tblTx[[#This Row],[Date]])),IF(AND(tblTx[[#This Row],[Date]]&gt;=StartDate,tblTx[[#This Row],[Date]]&lt;=EndDate),tblTx[[#This Row],[Amount]]-ROW()/10^7,""),"")</f>
        <v>96.299999</v>
      </c>
    </row>
    <row r="11">
      <c r="A11" s="32" t="n">
        <v>46332</v>
      </c>
      <c r="B11" s="26" t="inlineStr">
        <is>
          <t>Expense</t>
        </is>
      </c>
      <c r="C11" s="24" t="inlineStr">
        <is>
          <t>Dining Out</t>
        </is>
      </c>
      <c r="D11" s="24" t="inlineStr">
        <is>
          <t>Lunch with colleagues</t>
        </is>
      </c>
      <c r="E11" s="25" t="n">
        <v>28.5</v>
      </c>
      <c r="F11" s="24" t="inlineStr">
        <is>
          <t>Card</t>
        </is>
      </c>
      <c r="G11" s="24" t="inlineStr"/>
      <c r="H11" s="33">
        <f>IF(ISNUMBER(tblTx[[#This Row],[Date]]),DAY(tblTx[[#This Row],[Date]]),"")</f>
        <v>6</v>
      </c>
      <c r="I11" s="33">
        <f>IF(ISNUMBER(tblTx[[#This Row],[Date]]),INT((DAY(tblTx[[#This Row],[Date]])-1)/7)+1,"")</f>
        <v>1</v>
      </c>
      <c r="J11" s="34">
        <f>IF(ISNUMBER(tblTx[[#This Row],[Amount]]),IF(tblTx[[#This Row],[Type]]="Income",tblTx[[#This Row],[Amount]],IF(tblTx[[#This Row],[Type]]="Expense",-tblTx[[#This Row],[Amount]],0)),"")</f>
        <v>-28.5</v>
      </c>
      <c r="K11" s="35">
        <f>IF(AND(tblTx[[#This Row],[Type]]="Expense",ISNUMBER(tblTx[[#This Row],[Amount]]),ISNUMBER(tblTx[[#This Row],[Date]])),IF(AND(tblTx[[#This Row],[Date]]&gt;=StartDate,tblTx[[#This Row],[Date]]&lt;=EndDate),tblTx[[#This Row],[Amount]]-ROW()/10^7,""),"")</f>
        <v>28.4999989</v>
      </c>
    </row>
    <row r="12">
      <c r="A12" s="32" t="n">
        <v>46333</v>
      </c>
      <c r="B12" s="26" t="inlineStr">
        <is>
          <t>Expense</t>
        </is>
      </c>
      <c r="C12" s="24" t="inlineStr">
        <is>
          <t>Internet &amp; Phone</t>
        </is>
      </c>
      <c r="D12" s="24" t="inlineStr">
        <is>
          <t>Mobile + home internet</t>
        </is>
      </c>
      <c r="E12" s="25" t="n">
        <v>89.98999999999999</v>
      </c>
      <c r="F12" s="24" t="inlineStr">
        <is>
          <t>Bank Transfer</t>
        </is>
      </c>
      <c r="G12" s="24" t="inlineStr"/>
      <c r="H12" s="33">
        <f>IF(ISNUMBER(tblTx[[#This Row],[Date]]),DAY(tblTx[[#This Row],[Date]]),"")</f>
        <v>7</v>
      </c>
      <c r="I12" s="33">
        <f>IF(ISNUMBER(tblTx[[#This Row],[Date]]),INT((DAY(tblTx[[#This Row],[Date]])-1)/7)+1,"")</f>
        <v>1</v>
      </c>
      <c r="J12" s="34">
        <f>IF(ISNUMBER(tblTx[[#This Row],[Amount]]),IF(tblTx[[#This Row],[Type]]="Income",tblTx[[#This Row],[Amount]],IF(tblTx[[#This Row],[Type]]="Expense",-tblTx[[#This Row],[Amount]],0)),"")</f>
        <v>-89.99</v>
      </c>
      <c r="K12" s="35">
        <f>IF(AND(tblTx[[#This Row],[Type]]="Expense",ISNUMBER(tblTx[[#This Row],[Amount]]),ISNUMBER(tblTx[[#This Row],[Date]])),IF(AND(tblTx[[#This Row],[Date]]&gt;=StartDate,tblTx[[#This Row],[Date]]&lt;=EndDate),tblTx[[#This Row],[Amount]]-ROW()/10^7,""),"")</f>
        <v>89.9899988</v>
      </c>
    </row>
    <row r="13">
      <c r="A13" s="32" t="n">
        <v>46334</v>
      </c>
      <c r="B13" s="26" t="inlineStr">
        <is>
          <t>Expense</t>
        </is>
      </c>
      <c r="C13" s="24" t="inlineStr">
        <is>
          <t>Savings</t>
        </is>
      </c>
      <c r="D13" s="24" t="inlineStr">
        <is>
          <t>Transfer to savings account</t>
        </is>
      </c>
      <c r="E13" s="25" t="n">
        <v>600</v>
      </c>
      <c r="F13" s="24" t="inlineStr">
        <is>
          <t>Bank Transfer</t>
        </is>
      </c>
      <c r="G13" s="24" t="inlineStr">
        <is>
          <t>Emergency fund</t>
        </is>
      </c>
      <c r="H13" s="33">
        <f>IF(ISNUMBER(tblTx[[#This Row],[Date]]),DAY(tblTx[[#This Row],[Date]]),"")</f>
        <v>8</v>
      </c>
      <c r="I13" s="33">
        <f>IF(ISNUMBER(tblTx[[#This Row],[Date]]),INT((DAY(tblTx[[#This Row],[Date]])-1)/7)+1,"")</f>
        <v>2</v>
      </c>
      <c r="J13" s="34">
        <f>IF(ISNUMBER(tblTx[[#This Row],[Amount]]),IF(tblTx[[#This Row],[Type]]="Income",tblTx[[#This Row],[Amount]],IF(tblTx[[#This Row],[Type]]="Expense",-tblTx[[#This Row],[Amount]],0)),"")</f>
        <v>-600</v>
      </c>
      <c r="K13" s="35">
        <f>IF(AND(tblTx[[#This Row],[Type]]="Expense",ISNUMBER(tblTx[[#This Row],[Amount]]),ISNUMBER(tblTx[[#This Row],[Date]])),IF(AND(tblTx[[#This Row],[Date]]&gt;=StartDate,tblTx[[#This Row],[Date]]&lt;=EndDate),tblTx[[#This Row],[Amount]]-ROW()/10^7,""),"")</f>
        <v>599.9999987</v>
      </c>
    </row>
    <row r="14">
      <c r="A14" s="32" t="n">
        <v>46335</v>
      </c>
      <c r="B14" s="26" t="inlineStr">
        <is>
          <t>Expense</t>
        </is>
      </c>
      <c r="C14" s="24" t="inlineStr">
        <is>
          <t>Groceries</t>
        </is>
      </c>
      <c r="D14" s="24" t="inlineStr">
        <is>
          <t>Weekly groceries</t>
        </is>
      </c>
      <c r="E14" s="25" t="n">
        <v>98.75</v>
      </c>
      <c r="F14" s="24" t="inlineStr">
        <is>
          <t>Card</t>
        </is>
      </c>
      <c r="G14" s="24" t="inlineStr"/>
      <c r="H14" s="33">
        <f>IF(ISNUMBER(tblTx[[#This Row],[Date]]),DAY(tblTx[[#This Row],[Date]]),"")</f>
        <v>9</v>
      </c>
      <c r="I14" s="33">
        <f>IF(ISNUMBER(tblTx[[#This Row],[Date]]),INT((DAY(tblTx[[#This Row],[Date]])-1)/7)+1,"")</f>
        <v>2</v>
      </c>
      <c r="J14" s="34">
        <f>IF(ISNUMBER(tblTx[[#This Row],[Amount]]),IF(tblTx[[#This Row],[Type]]="Income",tblTx[[#This Row],[Amount]],IF(tblTx[[#This Row],[Type]]="Expense",-tblTx[[#This Row],[Amount]],0)),"")</f>
        <v>-98.75</v>
      </c>
      <c r="K14" s="35">
        <f>IF(AND(tblTx[[#This Row],[Type]]="Expense",ISNUMBER(tblTx[[#This Row],[Amount]]),ISNUMBER(tblTx[[#This Row],[Date]])),IF(AND(tblTx[[#This Row],[Date]]&gt;=StartDate,tblTx[[#This Row],[Date]]&lt;=EndDate),tblTx[[#This Row],[Amount]]-ROW()/10^7,""),"")</f>
        <v>98.7499986</v>
      </c>
    </row>
    <row r="15">
      <c r="A15" s="32" t="n">
        <v>46336</v>
      </c>
      <c r="B15" s="26" t="inlineStr">
        <is>
          <t>Income</t>
        </is>
      </c>
      <c r="C15" s="24" t="inlineStr">
        <is>
          <t>Freelance</t>
        </is>
      </c>
      <c r="D15" s="24" t="inlineStr">
        <is>
          <t>Website project - client A</t>
        </is>
      </c>
      <c r="E15" s="25" t="n">
        <v>650</v>
      </c>
      <c r="F15" s="24" t="inlineStr">
        <is>
          <t>Bank Transfer</t>
        </is>
      </c>
      <c r="G15" s="24" t="inlineStr">
        <is>
          <t>Invoice #014</t>
        </is>
      </c>
      <c r="H15" s="33">
        <f>IF(ISNUMBER(tblTx[[#This Row],[Date]]),DAY(tblTx[[#This Row],[Date]]),"")</f>
        <v>10</v>
      </c>
      <c r="I15" s="33">
        <f>IF(ISNUMBER(tblTx[[#This Row],[Date]]),INT((DAY(tblTx[[#This Row],[Date]])-1)/7)+1,"")</f>
        <v>2</v>
      </c>
      <c r="J15" s="34">
        <f>IF(ISNUMBER(tblTx[[#This Row],[Amount]]),IF(tblTx[[#This Row],[Type]]="Income",tblTx[[#This Row],[Amount]],IF(tblTx[[#This Row],[Type]]="Expense",-tblTx[[#This Row],[Amount]],0)),"")</f>
        <v>650</v>
      </c>
      <c r="K15" s="35" t="str">
        <f>IF(AND(tblTx[[#This Row],[Type]]="Expense",ISNUMBER(tblTx[[#This Row],[Amount]]),ISNUMBER(tblTx[[#This Row],[Date]])),IF(AND(tblTx[[#This Row],[Date]]&gt;=StartDate,tblTx[[#This Row],[Date]]&lt;=EndDate),tblTx[[#This Row],[Amount]]-ROW()/10^7,""),"")</f>
        <v/>
      </c>
    </row>
    <row r="16">
      <c r="A16" s="32" t="n">
        <v>46337</v>
      </c>
      <c r="B16" s="26" t="inlineStr">
        <is>
          <t>Expense</t>
        </is>
      </c>
      <c r="C16" s="24" t="inlineStr">
        <is>
          <t>Health</t>
        </is>
      </c>
      <c r="D16" s="24" t="inlineStr">
        <is>
          <t>Pharmacy</t>
        </is>
      </c>
      <c r="E16" s="25" t="n">
        <v>32.6</v>
      </c>
      <c r="F16" s="24" t="inlineStr">
        <is>
          <t>Cash</t>
        </is>
      </c>
      <c r="G16" s="24" t="inlineStr"/>
      <c r="H16" s="33">
        <f>IF(ISNUMBER(tblTx[[#This Row],[Date]]),DAY(tblTx[[#This Row],[Date]]),"")</f>
        <v>11</v>
      </c>
      <c r="I16" s="33">
        <f>IF(ISNUMBER(tblTx[[#This Row],[Date]]),INT((DAY(tblTx[[#This Row],[Date]])-1)/7)+1,"")</f>
        <v>2</v>
      </c>
      <c r="J16" s="34">
        <f>IF(ISNUMBER(tblTx[[#This Row],[Amount]]),IF(tblTx[[#This Row],[Type]]="Income",tblTx[[#This Row],[Amount]],IF(tblTx[[#This Row],[Type]]="Expense",-tblTx[[#This Row],[Amount]],0)),"")</f>
        <v>-32.6</v>
      </c>
      <c r="K16" s="35">
        <f>IF(AND(tblTx[[#This Row],[Type]]="Expense",ISNUMBER(tblTx[[#This Row],[Amount]]),ISNUMBER(tblTx[[#This Row],[Date]])),IF(AND(tblTx[[#This Row],[Date]]&gt;=StartDate,tblTx[[#This Row],[Date]]&lt;=EndDate),tblTx[[#This Row],[Amount]]-ROW()/10^7,""),"")</f>
        <v>32.5999984</v>
      </c>
    </row>
    <row r="17">
      <c r="A17" s="32" t="n">
        <v>46338</v>
      </c>
      <c r="B17" s="26" t="inlineStr">
        <is>
          <t>Expense</t>
        </is>
      </c>
      <c r="C17" s="24" t="inlineStr">
        <is>
          <t>Entertainment</t>
        </is>
      </c>
      <c r="D17" s="24" t="inlineStr">
        <is>
          <t>Cinema tickets</t>
        </is>
      </c>
      <c r="E17" s="25" t="n">
        <v>30</v>
      </c>
      <c r="F17" s="24" t="inlineStr">
        <is>
          <t>Wallet</t>
        </is>
      </c>
      <c r="G17" s="24" t="inlineStr"/>
      <c r="H17" s="33">
        <f>IF(ISNUMBER(tblTx[[#This Row],[Date]]),DAY(tblTx[[#This Row],[Date]]),"")</f>
        <v>12</v>
      </c>
      <c r="I17" s="33">
        <f>IF(ISNUMBER(tblTx[[#This Row],[Date]]),INT((DAY(tblTx[[#This Row],[Date]])-1)/7)+1,"")</f>
        <v>2</v>
      </c>
      <c r="J17" s="34">
        <f>IF(ISNUMBER(tblTx[[#This Row],[Amount]]),IF(tblTx[[#This Row],[Type]]="Income",tblTx[[#This Row],[Amount]],IF(tblTx[[#This Row],[Type]]="Expense",-tblTx[[#This Row],[Amount]],0)),"")</f>
        <v>-30</v>
      </c>
      <c r="K17" s="35">
        <f>IF(AND(tblTx[[#This Row],[Type]]="Expense",ISNUMBER(tblTx[[#This Row],[Amount]]),ISNUMBER(tblTx[[#This Row],[Date]])),IF(AND(tblTx[[#This Row],[Date]]&gt;=StartDate,tblTx[[#This Row],[Date]]&lt;=EndDate),tblTx[[#This Row],[Amount]]-ROW()/10^7,""),"")</f>
        <v>29.9999983</v>
      </c>
    </row>
    <row r="18">
      <c r="A18" s="32" t="n">
        <v>46340</v>
      </c>
      <c r="B18" s="26" t="inlineStr">
        <is>
          <t>Expense</t>
        </is>
      </c>
      <c r="C18" s="24" t="inlineStr">
        <is>
          <t>Debt Payments</t>
        </is>
      </c>
      <c r="D18" s="24" t="inlineStr">
        <is>
          <t>Credit card payment</t>
        </is>
      </c>
      <c r="E18" s="25" t="n">
        <v>350</v>
      </c>
      <c r="F18" s="24" t="inlineStr">
        <is>
          <t>Bank Transfer</t>
        </is>
      </c>
      <c r="G18" s="24" t="inlineStr"/>
      <c r="H18" s="33">
        <f>IF(ISNUMBER(tblTx[[#This Row],[Date]]),DAY(tblTx[[#This Row],[Date]]),"")</f>
        <v>14</v>
      </c>
      <c r="I18" s="33">
        <f>IF(ISNUMBER(tblTx[[#This Row],[Date]]),INT((DAY(tblTx[[#This Row],[Date]])-1)/7)+1,"")</f>
        <v>2</v>
      </c>
      <c r="J18" s="34">
        <f>IF(ISNUMBER(tblTx[[#This Row],[Amount]]),IF(tblTx[[#This Row],[Type]]="Income",tblTx[[#This Row],[Amount]],IF(tblTx[[#This Row],[Type]]="Expense",-tblTx[[#This Row],[Amount]],0)),"")</f>
        <v>-350</v>
      </c>
      <c r="K18" s="35">
        <f>IF(AND(tblTx[[#This Row],[Type]]="Expense",ISNUMBER(tblTx[[#This Row],[Amount]]),ISNUMBER(tblTx[[#This Row],[Date]])),IF(AND(tblTx[[#This Row],[Date]]&gt;=StartDate,tblTx[[#This Row],[Date]]&lt;=EndDate),tblTx[[#This Row],[Amount]]-ROW()/10^7,""),"")</f>
        <v>349.9999982</v>
      </c>
    </row>
    <row r="19">
      <c r="A19" s="32" t="n">
        <v>46341</v>
      </c>
      <c r="B19" s="26" t="inlineStr">
        <is>
          <t>Expense</t>
        </is>
      </c>
      <c r="C19" s="24" t="inlineStr">
        <is>
          <t>Shopping</t>
        </is>
      </c>
      <c r="D19" s="24" t="inlineStr">
        <is>
          <t>Winter jacket</t>
        </is>
      </c>
      <c r="E19" s="25" t="n">
        <v>145</v>
      </c>
      <c r="F19" s="24" t="inlineStr">
        <is>
          <t>Card</t>
        </is>
      </c>
      <c r="G19" s="24" t="inlineStr"/>
      <c r="H19" s="33">
        <f>IF(ISNUMBER(tblTx[[#This Row],[Date]]),DAY(tblTx[[#This Row],[Date]]),"")</f>
        <v>15</v>
      </c>
      <c r="I19" s="33">
        <f>IF(ISNUMBER(tblTx[[#This Row],[Date]]),INT((DAY(tblTx[[#This Row],[Date]])-1)/7)+1,"")</f>
        <v>3</v>
      </c>
      <c r="J19" s="34">
        <f>IF(ISNUMBER(tblTx[[#This Row],[Amount]]),IF(tblTx[[#This Row],[Type]]="Income",tblTx[[#This Row],[Amount]],IF(tblTx[[#This Row],[Type]]="Expense",-tblTx[[#This Row],[Amount]],0)),"")</f>
        <v>-145</v>
      </c>
      <c r="K19" s="35">
        <f>IF(AND(tblTx[[#This Row],[Type]]="Expense",ISNUMBER(tblTx[[#This Row],[Amount]]),ISNUMBER(tblTx[[#This Row],[Date]])),IF(AND(tblTx[[#This Row],[Date]]&gt;=StartDate,tblTx[[#This Row],[Date]]&lt;=EndDate),tblTx[[#This Row],[Amount]]-ROW()/10^7,""),"")</f>
        <v>144.9999981</v>
      </c>
    </row>
    <row r="20">
      <c r="A20" s="32" t="n">
        <v>46342</v>
      </c>
      <c r="B20" s="26" t="inlineStr">
        <is>
          <t>Expense</t>
        </is>
      </c>
      <c r="C20" s="24" t="inlineStr">
        <is>
          <t>Groceries</t>
        </is>
      </c>
      <c r="D20" s="24" t="inlineStr">
        <is>
          <t>Weekly groceries</t>
        </is>
      </c>
      <c r="E20" s="25" t="n">
        <v>121.3</v>
      </c>
      <c r="F20" s="24" t="inlineStr">
        <is>
          <t>Card</t>
        </is>
      </c>
      <c r="G20" s="24" t="inlineStr"/>
      <c r="H20" s="33">
        <f>IF(ISNUMBER(tblTx[[#This Row],[Date]]),DAY(tblTx[[#This Row],[Date]]),"")</f>
        <v>16</v>
      </c>
      <c r="I20" s="33">
        <f>IF(ISNUMBER(tblTx[[#This Row],[Date]]),INT((DAY(tblTx[[#This Row],[Date]])-1)/7)+1,"")</f>
        <v>3</v>
      </c>
      <c r="J20" s="34">
        <f>IF(ISNUMBER(tblTx[[#This Row],[Amount]]),IF(tblTx[[#This Row],[Type]]="Income",tblTx[[#This Row],[Amount]],IF(tblTx[[#This Row],[Type]]="Expense",-tblTx[[#This Row],[Amount]],0)),"")</f>
        <v>-121.3</v>
      </c>
      <c r="K20" s="35">
        <f>IF(AND(tblTx[[#This Row],[Type]]="Expense",ISNUMBER(tblTx[[#This Row],[Amount]]),ISNUMBER(tblTx[[#This Row],[Date]])),IF(AND(tblTx[[#This Row],[Date]]&gt;=StartDate,tblTx[[#This Row],[Date]]&lt;=EndDate),tblTx[[#This Row],[Amount]]-ROW()/10^7,""),"")</f>
        <v>121.299998</v>
      </c>
    </row>
    <row r="21">
      <c r="A21" s="32" t="n">
        <v>46344</v>
      </c>
      <c r="B21" s="26" t="inlineStr">
        <is>
          <t>Expense</t>
        </is>
      </c>
      <c r="C21" s="24" t="inlineStr">
        <is>
          <t>Transport/Fuel</t>
        </is>
      </c>
      <c r="D21" s="24" t="inlineStr">
        <is>
          <t>Monthly bus pass</t>
        </is>
      </c>
      <c r="E21" s="25" t="n">
        <v>45</v>
      </c>
      <c r="F21" s="24" t="inlineStr">
        <is>
          <t>Wallet</t>
        </is>
      </c>
      <c r="G21" s="24" t="inlineStr"/>
      <c r="H21" s="33">
        <f>IF(ISNUMBER(tblTx[[#This Row],[Date]]),DAY(tblTx[[#This Row],[Date]]),"")</f>
        <v>18</v>
      </c>
      <c r="I21" s="33">
        <f>IF(ISNUMBER(tblTx[[#This Row],[Date]]),INT((DAY(tblTx[[#This Row],[Date]])-1)/7)+1,"")</f>
        <v>3</v>
      </c>
      <c r="J21" s="34">
        <f>IF(ISNUMBER(tblTx[[#This Row],[Amount]]),IF(tblTx[[#This Row],[Type]]="Income",tblTx[[#This Row],[Amount]],IF(tblTx[[#This Row],[Type]]="Expense",-tblTx[[#This Row],[Amount]],0)),"")</f>
        <v>-45</v>
      </c>
      <c r="K21" s="35">
        <f>IF(AND(tblTx[[#This Row],[Type]]="Expense",ISNUMBER(tblTx[[#This Row],[Amount]]),ISNUMBER(tblTx[[#This Row],[Date]])),IF(AND(tblTx[[#This Row],[Date]]&gt;=StartDate,tblTx[[#This Row],[Date]]&lt;=EndDate),tblTx[[#This Row],[Amount]]-ROW()/10^7,""),"")</f>
        <v>44.9999979</v>
      </c>
    </row>
    <row r="22">
      <c r="A22" s="32" t="n">
        <v>46346</v>
      </c>
      <c r="B22" s="26" t="inlineStr">
        <is>
          <t>Expense</t>
        </is>
      </c>
      <c r="C22" s="24" t="inlineStr">
        <is>
          <t>Gifts/Family</t>
        </is>
      </c>
      <c r="D22" s="24" t="inlineStr">
        <is>
          <t>Birthday gift</t>
        </is>
      </c>
      <c r="E22" s="25" t="n">
        <v>60</v>
      </c>
      <c r="F22" s="24" t="inlineStr">
        <is>
          <t>Card</t>
        </is>
      </c>
      <c r="G22" s="24" t="inlineStr"/>
      <c r="H22" s="33">
        <f>IF(ISNUMBER(tblTx[[#This Row],[Date]]),DAY(tblTx[[#This Row],[Date]]),"")</f>
        <v>20</v>
      </c>
      <c r="I22" s="33">
        <f>IF(ISNUMBER(tblTx[[#This Row],[Date]]),INT((DAY(tblTx[[#This Row],[Date]])-1)/7)+1,"")</f>
        <v>3</v>
      </c>
      <c r="J22" s="34">
        <f>IF(ISNUMBER(tblTx[[#This Row],[Amount]]),IF(tblTx[[#This Row],[Type]]="Income",tblTx[[#This Row],[Amount]],IF(tblTx[[#This Row],[Type]]="Expense",-tblTx[[#This Row],[Amount]],0)),"")</f>
        <v>-60</v>
      </c>
      <c r="K22" s="35">
        <f>IF(AND(tblTx[[#This Row],[Type]]="Expense",ISNUMBER(tblTx[[#This Row],[Amount]]),ISNUMBER(tblTx[[#This Row],[Date]])),IF(AND(tblTx[[#This Row],[Date]]&gt;=StartDate,tblTx[[#This Row],[Date]]&lt;=EndDate),tblTx[[#This Row],[Amount]]-ROW()/10^7,""),"")</f>
        <v>59.9999978</v>
      </c>
    </row>
    <row r="23">
      <c r="A23" s="32" t="n">
        <v>46348</v>
      </c>
      <c r="B23" s="26" t="inlineStr">
        <is>
          <t>Expense</t>
        </is>
      </c>
      <c r="C23" s="24" t="inlineStr">
        <is>
          <t>Dining Out</t>
        </is>
      </c>
      <c r="D23" s="24" t="inlineStr">
        <is>
          <t>Dinner out</t>
        </is>
      </c>
      <c r="E23" s="25" t="n">
        <v>64.2</v>
      </c>
      <c r="F23" s="24" t="inlineStr">
        <is>
          <t>Card</t>
        </is>
      </c>
      <c r="G23" s="24" t="inlineStr"/>
      <c r="H23" s="33">
        <f>IF(ISNUMBER(tblTx[[#This Row],[Date]]),DAY(tblTx[[#This Row],[Date]]),"")</f>
        <v>22</v>
      </c>
      <c r="I23" s="33">
        <f>IF(ISNUMBER(tblTx[[#This Row],[Date]]),INT((DAY(tblTx[[#This Row],[Date]])-1)/7)+1,"")</f>
        <v>4</v>
      </c>
      <c r="J23" s="34">
        <f>IF(ISNUMBER(tblTx[[#This Row],[Amount]]),IF(tblTx[[#This Row],[Type]]="Income",tblTx[[#This Row],[Amount]],IF(tblTx[[#This Row],[Type]]="Expense",-tblTx[[#This Row],[Amount]],0)),"")</f>
        <v>-64.2</v>
      </c>
      <c r="K23" s="35">
        <f>IF(AND(tblTx[[#This Row],[Type]]="Expense",ISNUMBER(tblTx[[#This Row],[Amount]]),ISNUMBER(tblTx[[#This Row],[Date]])),IF(AND(tblTx[[#This Row],[Date]]&gt;=StartDate,tblTx[[#This Row],[Date]]&lt;=EndDate),tblTx[[#This Row],[Amount]]-ROW()/10^7,""),"")</f>
        <v>64.1999977</v>
      </c>
    </row>
    <row r="24">
      <c r="A24" s="32" t="n">
        <v>46351</v>
      </c>
      <c r="B24" s="26" t="inlineStr">
        <is>
          <t>Expense</t>
        </is>
      </c>
      <c r="C24" s="24" t="inlineStr">
        <is>
          <t>Shopping</t>
        </is>
      </c>
      <c r="D24" s="24" t="inlineStr">
        <is>
          <t>Running shoes</t>
        </is>
      </c>
      <c r="E24" s="25" t="n">
        <v>89.98999999999999</v>
      </c>
      <c r="F24" s="24" t="inlineStr">
        <is>
          <t>Card</t>
        </is>
      </c>
      <c r="G24" s="24" t="inlineStr">
        <is>
          <t>Over budget example</t>
        </is>
      </c>
      <c r="H24" s="33">
        <f>IF(ISNUMBER(tblTx[[#This Row],[Date]]),DAY(tblTx[[#This Row],[Date]]),"")</f>
        <v>25</v>
      </c>
      <c r="I24" s="33">
        <f>IF(ISNUMBER(tblTx[[#This Row],[Date]]),INT((DAY(tblTx[[#This Row],[Date]])-1)/7)+1,"")</f>
        <v>4</v>
      </c>
      <c r="J24" s="34">
        <f>IF(ISNUMBER(tblTx[[#This Row],[Amount]]),IF(tblTx[[#This Row],[Type]]="Income",tblTx[[#This Row],[Amount]],IF(tblTx[[#This Row],[Type]]="Expense",-tblTx[[#This Row],[Amount]],0)),"")</f>
        <v>-89.99</v>
      </c>
      <c r="K24" s="35">
        <f>IF(AND(tblTx[[#This Row],[Type]]="Expense",ISNUMBER(tblTx[[#This Row],[Amount]]),ISNUMBER(tblTx[[#This Row],[Date]])),IF(AND(tblTx[[#This Row],[Date]]&gt;=StartDate,tblTx[[#This Row],[Date]]&lt;=EndDate),tblTx[[#This Row],[Amount]]-ROW()/10^7,""),"")</f>
        <v>89.9899976</v>
      </c>
    </row>
    <row r="25">
      <c r="A25" s="32" t="n"/>
      <c r="B25" s="26" t="n"/>
      <c r="C25" s="24" t="n"/>
      <c r="D25" s="24" t="n"/>
      <c r="E25" s="25" t="n"/>
      <c r="F25" s="24" t="n"/>
      <c r="G25" s="24" t="n"/>
      <c r="H25" s="33" t="str">
        <f>IF(ISNUMBER(tblTx[[#This Row],[Date]]),DAY(tblTx[[#This Row],[Date]]),"")</f>
        <v/>
      </c>
      <c r="I25" s="33" t="str">
        <f>IF(ISNUMBER(tblTx[[#This Row],[Date]]),INT((DAY(tblTx[[#This Row],[Date]])-1)/7)+1,"")</f>
        <v/>
      </c>
      <c r="J25" s="34" t="str">
        <f>IF(ISNUMBER(tblTx[[#This Row],[Amount]]),IF(tblTx[[#This Row],[Type]]="Income",tblTx[[#This Row],[Amount]],IF(tblTx[[#This Row],[Type]]="Expense",-tblTx[[#This Row],[Amount]],0)),"")</f>
        <v/>
      </c>
      <c r="K25" s="35" t="str">
        <f>IF(AND(tblTx[[#This Row],[Type]]="Expense",ISNUMBER(tblTx[[#This Row],[Amount]]),ISNUMBER(tblTx[[#This Row],[Date]])),IF(AND(tblTx[[#This Row],[Date]]&gt;=StartDate,tblTx[[#This Row],[Date]]&lt;=EndDate),tblTx[[#This Row],[Amount]]-ROW()/10^7,""),"")</f>
        <v/>
      </c>
    </row>
    <row r="26">
      <c r="A26" s="32" t="n"/>
      <c r="B26" s="26" t="n"/>
      <c r="C26" s="24" t="n"/>
      <c r="D26" s="24" t="n"/>
      <c r="E26" s="25" t="n"/>
      <c r="F26" s="24" t="n"/>
      <c r="G26" s="24" t="n"/>
      <c r="H26" s="33" t="str">
        <f>IF(ISNUMBER(tblTx[[#This Row],[Date]]),DAY(tblTx[[#This Row],[Date]]),"")</f>
        <v/>
      </c>
      <c r="I26" s="33" t="str">
        <f>IF(ISNUMBER(tblTx[[#This Row],[Date]]),INT((DAY(tblTx[[#This Row],[Date]])-1)/7)+1,"")</f>
        <v/>
      </c>
      <c r="J26" s="34" t="str">
        <f>IF(ISNUMBER(tblTx[[#This Row],[Amount]]),IF(tblTx[[#This Row],[Type]]="Income",tblTx[[#This Row],[Amount]],IF(tblTx[[#This Row],[Type]]="Expense",-tblTx[[#This Row],[Amount]],0)),"")</f>
        <v/>
      </c>
      <c r="K26" s="35" t="str">
        <f>IF(AND(tblTx[[#This Row],[Type]]="Expense",ISNUMBER(tblTx[[#This Row],[Amount]]),ISNUMBER(tblTx[[#This Row],[Date]])),IF(AND(tblTx[[#This Row],[Date]]&gt;=StartDate,tblTx[[#This Row],[Date]]&lt;=EndDate),tblTx[[#This Row],[Amount]]-ROW()/10^7,""),"")</f>
        <v/>
      </c>
    </row>
    <row r="27">
      <c r="A27" s="32" t="n"/>
      <c r="B27" s="26" t="n"/>
      <c r="C27" s="24" t="n"/>
      <c r="D27" s="24" t="n"/>
      <c r="E27" s="25" t="n"/>
      <c r="F27" s="24" t="n"/>
      <c r="G27" s="24" t="n"/>
      <c r="H27" s="33" t="str">
        <f>IF(ISNUMBER(tblTx[[#This Row],[Date]]),DAY(tblTx[[#This Row],[Date]]),"")</f>
        <v/>
      </c>
      <c r="I27" s="33" t="str">
        <f>IF(ISNUMBER(tblTx[[#This Row],[Date]]),INT((DAY(tblTx[[#This Row],[Date]])-1)/7)+1,"")</f>
        <v/>
      </c>
      <c r="J27" s="34" t="str">
        <f>IF(ISNUMBER(tblTx[[#This Row],[Amount]]),IF(tblTx[[#This Row],[Type]]="Income",tblTx[[#This Row],[Amount]],IF(tblTx[[#This Row],[Type]]="Expense",-tblTx[[#This Row],[Amount]],0)),"")</f>
        <v/>
      </c>
      <c r="K27" s="35" t="str">
        <f>IF(AND(tblTx[[#This Row],[Type]]="Expense",ISNUMBER(tblTx[[#This Row],[Amount]]),ISNUMBER(tblTx[[#This Row],[Date]])),IF(AND(tblTx[[#This Row],[Date]]&gt;=StartDate,tblTx[[#This Row],[Date]]&lt;=EndDate),tblTx[[#This Row],[Amount]]-ROW()/10^7,""),"")</f>
        <v/>
      </c>
    </row>
    <row r="28">
      <c r="A28" s="32" t="n"/>
      <c r="B28" s="26" t="n"/>
      <c r="C28" s="24" t="n"/>
      <c r="D28" s="24" t="n"/>
      <c r="E28" s="25" t="n"/>
      <c r="F28" s="24" t="n"/>
      <c r="G28" s="24" t="n"/>
      <c r="H28" s="33" t="str">
        <f>IF(ISNUMBER(tblTx[[#This Row],[Date]]),DAY(tblTx[[#This Row],[Date]]),"")</f>
        <v/>
      </c>
      <c r="I28" s="33" t="str">
        <f>IF(ISNUMBER(tblTx[[#This Row],[Date]]),INT((DAY(tblTx[[#This Row],[Date]])-1)/7)+1,"")</f>
        <v/>
      </c>
      <c r="J28" s="34" t="str">
        <f>IF(ISNUMBER(tblTx[[#This Row],[Amount]]),IF(tblTx[[#This Row],[Type]]="Income",tblTx[[#This Row],[Amount]],IF(tblTx[[#This Row],[Type]]="Expense",-tblTx[[#This Row],[Amount]],0)),"")</f>
        <v/>
      </c>
      <c r="K28" s="35" t="str">
        <f>IF(AND(tblTx[[#This Row],[Type]]="Expense",ISNUMBER(tblTx[[#This Row],[Amount]]),ISNUMBER(tblTx[[#This Row],[Date]])),IF(AND(tblTx[[#This Row],[Date]]&gt;=StartDate,tblTx[[#This Row],[Date]]&lt;=EndDate),tblTx[[#This Row],[Amount]]-ROW()/10^7,""),"")</f>
        <v/>
      </c>
    </row>
    <row r="29">
      <c r="A29" s="32" t="n"/>
      <c r="B29" s="26" t="n"/>
      <c r="C29" s="24" t="n"/>
      <c r="D29" s="24" t="n"/>
      <c r="E29" s="25" t="n"/>
      <c r="F29" s="24" t="n"/>
      <c r="G29" s="24" t="n"/>
      <c r="H29" s="33" t="str">
        <f>IF(ISNUMBER(tblTx[[#This Row],[Date]]),DAY(tblTx[[#This Row],[Date]]),"")</f>
        <v/>
      </c>
      <c r="I29" s="33" t="str">
        <f>IF(ISNUMBER(tblTx[[#This Row],[Date]]),INT((DAY(tblTx[[#This Row],[Date]])-1)/7)+1,"")</f>
        <v/>
      </c>
      <c r="J29" s="34" t="str">
        <f>IF(ISNUMBER(tblTx[[#This Row],[Amount]]),IF(tblTx[[#This Row],[Type]]="Income",tblTx[[#This Row],[Amount]],IF(tblTx[[#This Row],[Type]]="Expense",-tblTx[[#This Row],[Amount]],0)),"")</f>
        <v/>
      </c>
      <c r="K29" s="35" t="str">
        <f>IF(AND(tblTx[[#This Row],[Type]]="Expense",ISNUMBER(tblTx[[#This Row],[Amount]]),ISNUMBER(tblTx[[#This Row],[Date]])),IF(AND(tblTx[[#This Row],[Date]]&gt;=StartDate,tblTx[[#This Row],[Date]]&lt;=EndDate),tblTx[[#This Row],[Amount]]-ROW()/10^7,""),"")</f>
        <v/>
      </c>
    </row>
    <row r="30">
      <c r="A30" s="32" t="n"/>
      <c r="B30" s="26" t="n"/>
      <c r="C30" s="24" t="n"/>
      <c r="D30" s="24" t="n"/>
      <c r="E30" s="25" t="n"/>
      <c r="F30" s="24" t="n"/>
      <c r="G30" s="24" t="n"/>
      <c r="H30" s="33" t="str">
        <f>IF(ISNUMBER(tblTx[[#This Row],[Date]]),DAY(tblTx[[#This Row],[Date]]),"")</f>
        <v/>
      </c>
      <c r="I30" s="33" t="str">
        <f>IF(ISNUMBER(tblTx[[#This Row],[Date]]),INT((DAY(tblTx[[#This Row],[Date]])-1)/7)+1,"")</f>
        <v/>
      </c>
      <c r="J30" s="34" t="str">
        <f>IF(ISNUMBER(tblTx[[#This Row],[Amount]]),IF(tblTx[[#This Row],[Type]]="Income",tblTx[[#This Row],[Amount]],IF(tblTx[[#This Row],[Type]]="Expense",-tblTx[[#This Row],[Amount]],0)),"")</f>
        <v/>
      </c>
      <c r="K30" s="35" t="str">
        <f>IF(AND(tblTx[[#This Row],[Type]]="Expense",ISNUMBER(tblTx[[#This Row],[Amount]]),ISNUMBER(tblTx[[#This Row],[Date]])),IF(AND(tblTx[[#This Row],[Date]]&gt;=StartDate,tblTx[[#This Row],[Date]]&lt;=EndDate),tblTx[[#This Row],[Amount]]-ROW()/10^7,""),"")</f>
        <v/>
      </c>
    </row>
    <row r="31">
      <c r="A31" s="32" t="n"/>
      <c r="B31" s="26" t="n"/>
      <c r="C31" s="24" t="n"/>
      <c r="D31" s="24" t="n"/>
      <c r="E31" s="25" t="n"/>
      <c r="F31" s="24" t="n"/>
      <c r="G31" s="24" t="n"/>
      <c r="H31" s="33" t="str">
        <f>IF(ISNUMBER(tblTx[[#This Row],[Date]]),DAY(tblTx[[#This Row],[Date]]),"")</f>
        <v/>
      </c>
      <c r="I31" s="33" t="str">
        <f>IF(ISNUMBER(tblTx[[#This Row],[Date]]),INT((DAY(tblTx[[#This Row],[Date]])-1)/7)+1,"")</f>
        <v/>
      </c>
      <c r="J31" s="34" t="str">
        <f>IF(ISNUMBER(tblTx[[#This Row],[Amount]]),IF(tblTx[[#This Row],[Type]]="Income",tblTx[[#This Row],[Amount]],IF(tblTx[[#This Row],[Type]]="Expense",-tblTx[[#This Row],[Amount]],0)),"")</f>
        <v/>
      </c>
      <c r="K31" s="35" t="str">
        <f>IF(AND(tblTx[[#This Row],[Type]]="Expense",ISNUMBER(tblTx[[#This Row],[Amount]]),ISNUMBER(tblTx[[#This Row],[Date]])),IF(AND(tblTx[[#This Row],[Date]]&gt;=StartDate,tblTx[[#This Row],[Date]]&lt;=EndDate),tblTx[[#This Row],[Amount]]-ROW()/10^7,""),"")</f>
        <v/>
      </c>
    </row>
    <row r="32">
      <c r="A32" s="32" t="n"/>
      <c r="B32" s="26" t="n"/>
      <c r="C32" s="24" t="n"/>
      <c r="D32" s="24" t="n"/>
      <c r="E32" s="25" t="n"/>
      <c r="F32" s="24" t="n"/>
      <c r="G32" s="24" t="n"/>
      <c r="H32" s="33" t="str">
        <f>IF(ISNUMBER(tblTx[[#This Row],[Date]]),DAY(tblTx[[#This Row],[Date]]),"")</f>
        <v/>
      </c>
      <c r="I32" s="33" t="str">
        <f>IF(ISNUMBER(tblTx[[#This Row],[Date]]),INT((DAY(tblTx[[#This Row],[Date]])-1)/7)+1,"")</f>
        <v/>
      </c>
      <c r="J32" s="34" t="str">
        <f>IF(ISNUMBER(tblTx[[#This Row],[Amount]]),IF(tblTx[[#This Row],[Type]]="Income",tblTx[[#This Row],[Amount]],IF(tblTx[[#This Row],[Type]]="Expense",-tblTx[[#This Row],[Amount]],0)),"")</f>
        <v/>
      </c>
      <c r="K32" s="35" t="str">
        <f>IF(AND(tblTx[[#This Row],[Type]]="Expense",ISNUMBER(tblTx[[#This Row],[Amount]]),ISNUMBER(tblTx[[#This Row],[Date]])),IF(AND(tblTx[[#This Row],[Date]]&gt;=StartDate,tblTx[[#This Row],[Date]]&lt;=EndDate),tblTx[[#This Row],[Amount]]-ROW()/10^7,""),"")</f>
        <v/>
      </c>
    </row>
    <row r="33">
      <c r="A33" s="32" t="n"/>
      <c r="B33" s="26" t="n"/>
      <c r="C33" s="24" t="n"/>
      <c r="D33" s="24" t="n"/>
      <c r="E33" s="25" t="n"/>
      <c r="F33" s="24" t="n"/>
      <c r="G33" s="24" t="n"/>
      <c r="H33" s="33" t="str">
        <f>IF(ISNUMBER(tblTx[[#This Row],[Date]]),DAY(tblTx[[#This Row],[Date]]),"")</f>
        <v/>
      </c>
      <c r="I33" s="33" t="str">
        <f>IF(ISNUMBER(tblTx[[#This Row],[Date]]),INT((DAY(tblTx[[#This Row],[Date]])-1)/7)+1,"")</f>
        <v/>
      </c>
      <c r="J33" s="34" t="str">
        <f>IF(ISNUMBER(tblTx[[#This Row],[Amount]]),IF(tblTx[[#This Row],[Type]]="Income",tblTx[[#This Row],[Amount]],IF(tblTx[[#This Row],[Type]]="Expense",-tblTx[[#This Row],[Amount]],0)),"")</f>
        <v/>
      </c>
      <c r="K33" s="35" t="str">
        <f>IF(AND(tblTx[[#This Row],[Type]]="Expense",ISNUMBER(tblTx[[#This Row],[Amount]]),ISNUMBER(tblTx[[#This Row],[Date]])),IF(AND(tblTx[[#This Row],[Date]]&gt;=StartDate,tblTx[[#This Row],[Date]]&lt;=EndDate),tblTx[[#This Row],[Amount]]-ROW()/10^7,""),"")</f>
        <v/>
      </c>
    </row>
    <row r="34">
      <c r="A34" s="32" t="n"/>
      <c r="B34" s="26" t="n"/>
      <c r="C34" s="24" t="n"/>
      <c r="D34" s="24" t="n"/>
      <c r="E34" s="25" t="n"/>
      <c r="F34" s="24" t="n"/>
      <c r="G34" s="24" t="n"/>
      <c r="H34" s="33" t="str">
        <f>IF(ISNUMBER(tblTx[[#This Row],[Date]]),DAY(tblTx[[#This Row],[Date]]),"")</f>
        <v/>
      </c>
      <c r="I34" s="33" t="str">
        <f>IF(ISNUMBER(tblTx[[#This Row],[Date]]),INT((DAY(tblTx[[#This Row],[Date]])-1)/7)+1,"")</f>
        <v/>
      </c>
      <c r="J34" s="34" t="str">
        <f>IF(ISNUMBER(tblTx[[#This Row],[Amount]]),IF(tblTx[[#This Row],[Type]]="Income",tblTx[[#This Row],[Amount]],IF(tblTx[[#This Row],[Type]]="Expense",-tblTx[[#This Row],[Amount]],0)),"")</f>
        <v/>
      </c>
      <c r="K34" s="35" t="str">
        <f>IF(AND(tblTx[[#This Row],[Type]]="Expense",ISNUMBER(tblTx[[#This Row],[Amount]]),ISNUMBER(tblTx[[#This Row],[Date]])),IF(AND(tblTx[[#This Row],[Date]]&gt;=StartDate,tblTx[[#This Row],[Date]]&lt;=EndDate),tblTx[[#This Row],[Amount]]-ROW()/10^7,""),"")</f>
        <v/>
      </c>
    </row>
    <row r="35">
      <c r="A35" s="32" t="n"/>
      <c r="B35" s="26" t="n"/>
      <c r="C35" s="24" t="n"/>
      <c r="D35" s="24" t="n"/>
      <c r="E35" s="25" t="n"/>
      <c r="F35" s="24" t="n"/>
      <c r="G35" s="24" t="n"/>
      <c r="H35" s="33" t="str">
        <f>IF(ISNUMBER(tblTx[[#This Row],[Date]]),DAY(tblTx[[#This Row],[Date]]),"")</f>
        <v/>
      </c>
      <c r="I35" s="33" t="str">
        <f>IF(ISNUMBER(tblTx[[#This Row],[Date]]),INT((DAY(tblTx[[#This Row],[Date]])-1)/7)+1,"")</f>
        <v/>
      </c>
      <c r="J35" s="34" t="str">
        <f>IF(ISNUMBER(tblTx[[#This Row],[Amount]]),IF(tblTx[[#This Row],[Type]]="Income",tblTx[[#This Row],[Amount]],IF(tblTx[[#This Row],[Type]]="Expense",-tblTx[[#This Row],[Amount]],0)),"")</f>
        <v/>
      </c>
      <c r="K35" s="35" t="str">
        <f>IF(AND(tblTx[[#This Row],[Type]]="Expense",ISNUMBER(tblTx[[#This Row],[Amount]]),ISNUMBER(tblTx[[#This Row],[Date]])),IF(AND(tblTx[[#This Row],[Date]]&gt;=StartDate,tblTx[[#This Row],[Date]]&lt;=EndDate),tblTx[[#This Row],[Amount]]-ROW()/10^7,""),"")</f>
        <v/>
      </c>
    </row>
    <row r="36">
      <c r="A36" s="32" t="n"/>
      <c r="B36" s="26" t="n"/>
      <c r="C36" s="24" t="n"/>
      <c r="D36" s="24" t="n"/>
      <c r="E36" s="25" t="n"/>
      <c r="F36" s="24" t="n"/>
      <c r="G36" s="24" t="n"/>
      <c r="H36" s="33" t="str">
        <f>IF(ISNUMBER(tblTx[[#This Row],[Date]]),DAY(tblTx[[#This Row],[Date]]),"")</f>
        <v/>
      </c>
      <c r="I36" s="33" t="str">
        <f>IF(ISNUMBER(tblTx[[#This Row],[Date]]),INT((DAY(tblTx[[#This Row],[Date]])-1)/7)+1,"")</f>
        <v/>
      </c>
      <c r="J36" s="34" t="str">
        <f>IF(ISNUMBER(tblTx[[#This Row],[Amount]]),IF(tblTx[[#This Row],[Type]]="Income",tblTx[[#This Row],[Amount]],IF(tblTx[[#This Row],[Type]]="Expense",-tblTx[[#This Row],[Amount]],0)),"")</f>
        <v/>
      </c>
      <c r="K36" s="35" t="str">
        <f>IF(AND(tblTx[[#This Row],[Type]]="Expense",ISNUMBER(tblTx[[#This Row],[Amount]]),ISNUMBER(tblTx[[#This Row],[Date]])),IF(AND(tblTx[[#This Row],[Date]]&gt;=StartDate,tblTx[[#This Row],[Date]]&lt;=EndDate),tblTx[[#This Row],[Amount]]-ROW()/10^7,""),"")</f>
        <v/>
      </c>
    </row>
    <row r="37">
      <c r="A37" s="32" t="n"/>
      <c r="B37" s="26" t="n"/>
      <c r="C37" s="24" t="n"/>
      <c r="D37" s="24" t="n"/>
      <c r="E37" s="25" t="n"/>
      <c r="F37" s="24" t="n"/>
      <c r="G37" s="24" t="n"/>
      <c r="H37" s="33" t="str">
        <f>IF(ISNUMBER(tblTx[[#This Row],[Date]]),DAY(tblTx[[#This Row],[Date]]),"")</f>
        <v/>
      </c>
      <c r="I37" s="33" t="str">
        <f>IF(ISNUMBER(tblTx[[#This Row],[Date]]),INT((DAY(tblTx[[#This Row],[Date]])-1)/7)+1,"")</f>
        <v/>
      </c>
      <c r="J37" s="34" t="str">
        <f>IF(ISNUMBER(tblTx[[#This Row],[Amount]]),IF(tblTx[[#This Row],[Type]]="Income",tblTx[[#This Row],[Amount]],IF(tblTx[[#This Row],[Type]]="Expense",-tblTx[[#This Row],[Amount]],0)),"")</f>
        <v/>
      </c>
      <c r="K37" s="35" t="str">
        <f>IF(AND(tblTx[[#This Row],[Type]]="Expense",ISNUMBER(tblTx[[#This Row],[Amount]]),ISNUMBER(tblTx[[#This Row],[Date]])),IF(AND(tblTx[[#This Row],[Date]]&gt;=StartDate,tblTx[[#This Row],[Date]]&lt;=EndDate),tblTx[[#This Row],[Amount]]-ROW()/10^7,""),"")</f>
        <v/>
      </c>
    </row>
    <row r="38">
      <c r="A38" s="32" t="n"/>
      <c r="B38" s="26" t="n"/>
      <c r="C38" s="24" t="n"/>
      <c r="D38" s="24" t="n"/>
      <c r="E38" s="25" t="n"/>
      <c r="F38" s="24" t="n"/>
      <c r="G38" s="24" t="n"/>
      <c r="H38" s="33" t="str">
        <f>IF(ISNUMBER(tblTx[[#This Row],[Date]]),DAY(tblTx[[#This Row],[Date]]),"")</f>
        <v/>
      </c>
      <c r="I38" s="33" t="str">
        <f>IF(ISNUMBER(tblTx[[#This Row],[Date]]),INT((DAY(tblTx[[#This Row],[Date]])-1)/7)+1,"")</f>
        <v/>
      </c>
      <c r="J38" s="34" t="str">
        <f>IF(ISNUMBER(tblTx[[#This Row],[Amount]]),IF(tblTx[[#This Row],[Type]]="Income",tblTx[[#This Row],[Amount]],IF(tblTx[[#This Row],[Type]]="Expense",-tblTx[[#This Row],[Amount]],0)),"")</f>
        <v/>
      </c>
      <c r="K38" s="35" t="str">
        <f>IF(AND(tblTx[[#This Row],[Type]]="Expense",ISNUMBER(tblTx[[#This Row],[Amount]]),ISNUMBER(tblTx[[#This Row],[Date]])),IF(AND(tblTx[[#This Row],[Date]]&gt;=StartDate,tblTx[[#This Row],[Date]]&lt;=EndDate),tblTx[[#This Row],[Amount]]-ROW()/10^7,""),"")</f>
        <v/>
      </c>
    </row>
    <row r="39">
      <c r="A39" s="32" t="n"/>
      <c r="B39" s="26" t="n"/>
      <c r="C39" s="24" t="n"/>
      <c r="D39" s="24" t="n"/>
      <c r="E39" s="25" t="n"/>
      <c r="F39" s="24" t="n"/>
      <c r="G39" s="24" t="n"/>
      <c r="H39" s="33" t="str">
        <f>IF(ISNUMBER(tblTx[[#This Row],[Date]]),DAY(tblTx[[#This Row],[Date]]),"")</f>
        <v/>
      </c>
      <c r="I39" s="33" t="str">
        <f>IF(ISNUMBER(tblTx[[#This Row],[Date]]),INT((DAY(tblTx[[#This Row],[Date]])-1)/7)+1,"")</f>
        <v/>
      </c>
      <c r="J39" s="34" t="str">
        <f>IF(ISNUMBER(tblTx[[#This Row],[Amount]]),IF(tblTx[[#This Row],[Type]]="Income",tblTx[[#This Row],[Amount]],IF(tblTx[[#This Row],[Type]]="Expense",-tblTx[[#This Row],[Amount]],0)),"")</f>
        <v/>
      </c>
      <c r="K39" s="35" t="str">
        <f>IF(AND(tblTx[[#This Row],[Type]]="Expense",ISNUMBER(tblTx[[#This Row],[Amount]]),ISNUMBER(tblTx[[#This Row],[Date]])),IF(AND(tblTx[[#This Row],[Date]]&gt;=StartDate,tblTx[[#This Row],[Date]]&lt;=EndDate),tblTx[[#This Row],[Amount]]-ROW()/10^7,""),"")</f>
        <v/>
      </c>
    </row>
    <row r="40">
      <c r="A40" s="32" t="n"/>
      <c r="B40" s="26" t="n"/>
      <c r="C40" s="24" t="n"/>
      <c r="D40" s="24" t="n"/>
      <c r="E40" s="25" t="n"/>
      <c r="F40" s="24" t="n"/>
      <c r="G40" s="24" t="n"/>
      <c r="H40" s="33" t="str">
        <f>IF(ISNUMBER(tblTx[[#This Row],[Date]]),DAY(tblTx[[#This Row],[Date]]),"")</f>
        <v/>
      </c>
      <c r="I40" s="33" t="str">
        <f>IF(ISNUMBER(tblTx[[#This Row],[Date]]),INT((DAY(tblTx[[#This Row],[Date]])-1)/7)+1,"")</f>
        <v/>
      </c>
      <c r="J40" s="34" t="str">
        <f>IF(ISNUMBER(tblTx[[#This Row],[Amount]]),IF(tblTx[[#This Row],[Type]]="Income",tblTx[[#This Row],[Amount]],IF(tblTx[[#This Row],[Type]]="Expense",-tblTx[[#This Row],[Amount]],0)),"")</f>
        <v/>
      </c>
      <c r="K40" s="35" t="str">
        <f>IF(AND(tblTx[[#This Row],[Type]]="Expense",ISNUMBER(tblTx[[#This Row],[Amount]]),ISNUMBER(tblTx[[#This Row],[Date]])),IF(AND(tblTx[[#This Row],[Date]]&gt;=StartDate,tblTx[[#This Row],[Date]]&lt;=EndDate),tblTx[[#This Row],[Amount]]-ROW()/10^7,""),"")</f>
        <v/>
      </c>
    </row>
    <row r="41">
      <c r="A41" s="32" t="n"/>
      <c r="B41" s="26" t="n"/>
      <c r="C41" s="24" t="n"/>
      <c r="D41" s="24" t="n"/>
      <c r="E41" s="25" t="n"/>
      <c r="F41" s="24" t="n"/>
      <c r="G41" s="24" t="n"/>
      <c r="H41" s="33" t="str">
        <f>IF(ISNUMBER(tblTx[[#This Row],[Date]]),DAY(tblTx[[#This Row],[Date]]),"")</f>
        <v/>
      </c>
      <c r="I41" s="33" t="str">
        <f>IF(ISNUMBER(tblTx[[#This Row],[Date]]),INT((DAY(tblTx[[#This Row],[Date]])-1)/7)+1,"")</f>
        <v/>
      </c>
      <c r="J41" s="34" t="str">
        <f>IF(ISNUMBER(tblTx[[#This Row],[Amount]]),IF(tblTx[[#This Row],[Type]]="Income",tblTx[[#This Row],[Amount]],IF(tblTx[[#This Row],[Type]]="Expense",-tblTx[[#This Row],[Amount]],0)),"")</f>
        <v/>
      </c>
      <c r="K41" s="35" t="str">
        <f>IF(AND(tblTx[[#This Row],[Type]]="Expense",ISNUMBER(tblTx[[#This Row],[Amount]]),ISNUMBER(tblTx[[#This Row],[Date]])),IF(AND(tblTx[[#This Row],[Date]]&gt;=StartDate,tblTx[[#This Row],[Date]]&lt;=EndDate),tblTx[[#This Row],[Amount]]-ROW()/10^7,""),"")</f>
        <v/>
      </c>
    </row>
    <row r="42">
      <c r="A42" s="32" t="n"/>
      <c r="B42" s="26" t="n"/>
      <c r="C42" s="24" t="n"/>
      <c r="D42" s="24" t="n"/>
      <c r="E42" s="25" t="n"/>
      <c r="F42" s="24" t="n"/>
      <c r="G42" s="24" t="n"/>
      <c r="H42" s="33" t="str">
        <f>IF(ISNUMBER(tblTx[[#This Row],[Date]]),DAY(tblTx[[#This Row],[Date]]),"")</f>
        <v/>
      </c>
      <c r="I42" s="33" t="str">
        <f>IF(ISNUMBER(tblTx[[#This Row],[Date]]),INT((DAY(tblTx[[#This Row],[Date]])-1)/7)+1,"")</f>
        <v/>
      </c>
      <c r="J42" s="34" t="str">
        <f>IF(ISNUMBER(tblTx[[#This Row],[Amount]]),IF(tblTx[[#This Row],[Type]]="Income",tblTx[[#This Row],[Amount]],IF(tblTx[[#This Row],[Type]]="Expense",-tblTx[[#This Row],[Amount]],0)),"")</f>
        <v/>
      </c>
      <c r="K42" s="35" t="str">
        <f>IF(AND(tblTx[[#This Row],[Type]]="Expense",ISNUMBER(tblTx[[#This Row],[Amount]]),ISNUMBER(tblTx[[#This Row],[Date]])),IF(AND(tblTx[[#This Row],[Date]]&gt;=StartDate,tblTx[[#This Row],[Date]]&lt;=EndDate),tblTx[[#This Row],[Amount]]-ROW()/10^7,""),"")</f>
        <v/>
      </c>
    </row>
    <row r="43">
      <c r="A43" s="32" t="n"/>
      <c r="B43" s="26" t="n"/>
      <c r="C43" s="24" t="n"/>
      <c r="D43" s="24" t="n"/>
      <c r="E43" s="25" t="n"/>
      <c r="F43" s="24" t="n"/>
      <c r="G43" s="24" t="n"/>
      <c r="H43" s="33" t="str">
        <f>IF(ISNUMBER(tblTx[[#This Row],[Date]]),DAY(tblTx[[#This Row],[Date]]),"")</f>
        <v/>
      </c>
      <c r="I43" s="33" t="str">
        <f>IF(ISNUMBER(tblTx[[#This Row],[Date]]),INT((DAY(tblTx[[#This Row],[Date]])-1)/7)+1,"")</f>
        <v/>
      </c>
      <c r="J43" s="34" t="str">
        <f>IF(ISNUMBER(tblTx[[#This Row],[Amount]]),IF(tblTx[[#This Row],[Type]]="Income",tblTx[[#This Row],[Amount]],IF(tblTx[[#This Row],[Type]]="Expense",-tblTx[[#This Row],[Amount]],0)),"")</f>
        <v/>
      </c>
      <c r="K43" s="35" t="str">
        <f>IF(AND(tblTx[[#This Row],[Type]]="Expense",ISNUMBER(tblTx[[#This Row],[Amount]]),ISNUMBER(tblTx[[#This Row],[Date]])),IF(AND(tblTx[[#This Row],[Date]]&gt;=StartDate,tblTx[[#This Row],[Date]]&lt;=EndDate),tblTx[[#This Row],[Amount]]-ROW()/10^7,""),"")</f>
        <v/>
      </c>
    </row>
    <row r="44">
      <c r="A44" s="32" t="n"/>
      <c r="B44" s="26" t="n"/>
      <c r="C44" s="24" t="n"/>
      <c r="D44" s="24" t="n"/>
      <c r="E44" s="25" t="n"/>
      <c r="F44" s="24" t="n"/>
      <c r="G44" s="24" t="n"/>
      <c r="H44" s="33" t="str">
        <f>IF(ISNUMBER(tblTx[[#This Row],[Date]]),DAY(tblTx[[#This Row],[Date]]),"")</f>
        <v/>
      </c>
      <c r="I44" s="33" t="str">
        <f>IF(ISNUMBER(tblTx[[#This Row],[Date]]),INT((DAY(tblTx[[#This Row],[Date]])-1)/7)+1,"")</f>
        <v/>
      </c>
      <c r="J44" s="34" t="str">
        <f>IF(ISNUMBER(tblTx[[#This Row],[Amount]]),IF(tblTx[[#This Row],[Type]]="Income",tblTx[[#This Row],[Amount]],IF(tblTx[[#This Row],[Type]]="Expense",-tblTx[[#This Row],[Amount]],0)),"")</f>
        <v/>
      </c>
      <c r="K44" s="35" t="str">
        <f>IF(AND(tblTx[[#This Row],[Type]]="Expense",ISNUMBER(tblTx[[#This Row],[Amount]]),ISNUMBER(tblTx[[#This Row],[Date]])),IF(AND(tblTx[[#This Row],[Date]]&gt;=StartDate,tblTx[[#This Row],[Date]]&lt;=EndDate),tblTx[[#This Row],[Amount]]-ROW()/10^7,""),"")</f>
        <v/>
      </c>
    </row>
    <row r="45">
      <c r="A45" s="32" t="n"/>
      <c r="B45" s="26" t="n"/>
      <c r="C45" s="24" t="n"/>
      <c r="D45" s="24" t="n"/>
      <c r="E45" s="25" t="n"/>
      <c r="F45" s="24" t="n"/>
      <c r="G45" s="24" t="n"/>
      <c r="H45" s="33" t="str">
        <f>IF(ISNUMBER(tblTx[[#This Row],[Date]]),DAY(tblTx[[#This Row],[Date]]),"")</f>
        <v/>
      </c>
      <c r="I45" s="33" t="str">
        <f>IF(ISNUMBER(tblTx[[#This Row],[Date]]),INT((DAY(tblTx[[#This Row],[Date]])-1)/7)+1,"")</f>
        <v/>
      </c>
      <c r="J45" s="34" t="str">
        <f>IF(ISNUMBER(tblTx[[#This Row],[Amount]]),IF(tblTx[[#This Row],[Type]]="Income",tblTx[[#This Row],[Amount]],IF(tblTx[[#This Row],[Type]]="Expense",-tblTx[[#This Row],[Amount]],0)),"")</f>
        <v/>
      </c>
      <c r="K45" s="35" t="str">
        <f>IF(AND(tblTx[[#This Row],[Type]]="Expense",ISNUMBER(tblTx[[#This Row],[Amount]]),ISNUMBER(tblTx[[#This Row],[Date]])),IF(AND(tblTx[[#This Row],[Date]]&gt;=StartDate,tblTx[[#This Row],[Date]]&lt;=EndDate),tblTx[[#This Row],[Amount]]-ROW()/10^7,""),"")</f>
        <v/>
      </c>
    </row>
    <row r="46">
      <c r="A46" s="32" t="n"/>
      <c r="B46" s="26" t="n"/>
      <c r="C46" s="24" t="n"/>
      <c r="D46" s="24" t="n"/>
      <c r="E46" s="25" t="n"/>
      <c r="F46" s="24" t="n"/>
      <c r="G46" s="24" t="n"/>
      <c r="H46" s="33" t="str">
        <f>IF(ISNUMBER(tblTx[[#This Row],[Date]]),DAY(tblTx[[#This Row],[Date]]),"")</f>
        <v/>
      </c>
      <c r="I46" s="33" t="str">
        <f>IF(ISNUMBER(tblTx[[#This Row],[Date]]),INT((DAY(tblTx[[#This Row],[Date]])-1)/7)+1,"")</f>
        <v/>
      </c>
      <c r="J46" s="34" t="str">
        <f>IF(ISNUMBER(tblTx[[#This Row],[Amount]]),IF(tblTx[[#This Row],[Type]]="Income",tblTx[[#This Row],[Amount]],IF(tblTx[[#This Row],[Type]]="Expense",-tblTx[[#This Row],[Amount]],0)),"")</f>
        <v/>
      </c>
      <c r="K46" s="35" t="str">
        <f>IF(AND(tblTx[[#This Row],[Type]]="Expense",ISNUMBER(tblTx[[#This Row],[Amount]]),ISNUMBER(tblTx[[#This Row],[Date]])),IF(AND(tblTx[[#This Row],[Date]]&gt;=StartDate,tblTx[[#This Row],[Date]]&lt;=EndDate),tblTx[[#This Row],[Amount]]-ROW()/10^7,""),"")</f>
        <v/>
      </c>
    </row>
    <row r="47">
      <c r="A47" s="32" t="n"/>
      <c r="B47" s="26" t="n"/>
      <c r="C47" s="24" t="n"/>
      <c r="D47" s="24" t="n"/>
      <c r="E47" s="25" t="n"/>
      <c r="F47" s="24" t="n"/>
      <c r="G47" s="24" t="n"/>
      <c r="H47" s="33" t="str">
        <f>IF(ISNUMBER(tblTx[[#This Row],[Date]]),DAY(tblTx[[#This Row],[Date]]),"")</f>
        <v/>
      </c>
      <c r="I47" s="33" t="str">
        <f>IF(ISNUMBER(tblTx[[#This Row],[Date]]),INT((DAY(tblTx[[#This Row],[Date]])-1)/7)+1,"")</f>
        <v/>
      </c>
      <c r="J47" s="34" t="str">
        <f>IF(ISNUMBER(tblTx[[#This Row],[Amount]]),IF(tblTx[[#This Row],[Type]]="Income",tblTx[[#This Row],[Amount]],IF(tblTx[[#This Row],[Type]]="Expense",-tblTx[[#This Row],[Amount]],0)),"")</f>
        <v/>
      </c>
      <c r="K47" s="35" t="str">
        <f>IF(AND(tblTx[[#This Row],[Type]]="Expense",ISNUMBER(tblTx[[#This Row],[Amount]]),ISNUMBER(tblTx[[#This Row],[Date]])),IF(AND(tblTx[[#This Row],[Date]]&gt;=StartDate,tblTx[[#This Row],[Date]]&lt;=EndDate),tblTx[[#This Row],[Amount]]-ROW()/10^7,""),"")</f>
        <v/>
      </c>
    </row>
    <row r="48">
      <c r="A48" s="32" t="n"/>
      <c r="B48" s="26" t="n"/>
      <c r="C48" s="24" t="n"/>
      <c r="D48" s="24" t="n"/>
      <c r="E48" s="25" t="n"/>
      <c r="F48" s="24" t="n"/>
      <c r="G48" s="24" t="n"/>
      <c r="H48" s="33" t="str">
        <f>IF(ISNUMBER(tblTx[[#This Row],[Date]]),DAY(tblTx[[#This Row],[Date]]),"")</f>
        <v/>
      </c>
      <c r="I48" s="33" t="str">
        <f>IF(ISNUMBER(tblTx[[#This Row],[Date]]),INT((DAY(tblTx[[#This Row],[Date]])-1)/7)+1,"")</f>
        <v/>
      </c>
      <c r="J48" s="34" t="str">
        <f>IF(ISNUMBER(tblTx[[#This Row],[Amount]]),IF(tblTx[[#This Row],[Type]]="Income",tblTx[[#This Row],[Amount]],IF(tblTx[[#This Row],[Type]]="Expense",-tblTx[[#This Row],[Amount]],0)),"")</f>
        <v/>
      </c>
      <c r="K48" s="35" t="str">
        <f>IF(AND(tblTx[[#This Row],[Type]]="Expense",ISNUMBER(tblTx[[#This Row],[Amount]]),ISNUMBER(tblTx[[#This Row],[Date]])),IF(AND(tblTx[[#This Row],[Date]]&gt;=StartDate,tblTx[[#This Row],[Date]]&lt;=EndDate),tblTx[[#This Row],[Amount]]-ROW()/10^7,""),"")</f>
        <v/>
      </c>
    </row>
    <row r="49">
      <c r="A49" s="32" t="n"/>
      <c r="B49" s="26" t="n"/>
      <c r="C49" s="24" t="n"/>
      <c r="D49" s="24" t="n"/>
      <c r="E49" s="25" t="n"/>
      <c r="F49" s="24" t="n"/>
      <c r="G49" s="24" t="n"/>
      <c r="H49" s="33" t="str">
        <f>IF(ISNUMBER(tblTx[[#This Row],[Date]]),DAY(tblTx[[#This Row],[Date]]),"")</f>
        <v/>
      </c>
      <c r="I49" s="33" t="str">
        <f>IF(ISNUMBER(tblTx[[#This Row],[Date]]),INT((DAY(tblTx[[#This Row],[Date]])-1)/7)+1,"")</f>
        <v/>
      </c>
      <c r="J49" s="34" t="str">
        <f>IF(ISNUMBER(tblTx[[#This Row],[Amount]]),IF(tblTx[[#This Row],[Type]]="Income",tblTx[[#This Row],[Amount]],IF(tblTx[[#This Row],[Type]]="Expense",-tblTx[[#This Row],[Amount]],0)),"")</f>
        <v/>
      </c>
      <c r="K49" s="35" t="str">
        <f>IF(AND(tblTx[[#This Row],[Type]]="Expense",ISNUMBER(tblTx[[#This Row],[Amount]]),ISNUMBER(tblTx[[#This Row],[Date]])),IF(AND(tblTx[[#This Row],[Date]]&gt;=StartDate,tblTx[[#This Row],[Date]]&lt;=EndDate),tblTx[[#This Row],[Amount]]-ROW()/10^7,""),"")</f>
        <v/>
      </c>
    </row>
    <row r="50">
      <c r="A50" s="32" t="n"/>
      <c r="B50" s="26" t="n"/>
      <c r="C50" s="24" t="n"/>
      <c r="D50" s="24" t="n"/>
      <c r="E50" s="25" t="n"/>
      <c r="F50" s="24" t="n"/>
      <c r="G50" s="24" t="n"/>
      <c r="H50" s="33" t="str">
        <f>IF(ISNUMBER(tblTx[[#This Row],[Date]]),DAY(tblTx[[#This Row],[Date]]),"")</f>
        <v/>
      </c>
      <c r="I50" s="33" t="str">
        <f>IF(ISNUMBER(tblTx[[#This Row],[Date]]),INT((DAY(tblTx[[#This Row],[Date]])-1)/7)+1,"")</f>
        <v/>
      </c>
      <c r="J50" s="34" t="str">
        <f>IF(ISNUMBER(tblTx[[#This Row],[Amount]]),IF(tblTx[[#This Row],[Type]]="Income",tblTx[[#This Row],[Amount]],IF(tblTx[[#This Row],[Type]]="Expense",-tblTx[[#This Row],[Amount]],0)),"")</f>
        <v/>
      </c>
      <c r="K50" s="35" t="str">
        <f>IF(AND(tblTx[[#This Row],[Type]]="Expense",ISNUMBER(tblTx[[#This Row],[Amount]]),ISNUMBER(tblTx[[#This Row],[Date]])),IF(AND(tblTx[[#This Row],[Date]]&gt;=StartDate,tblTx[[#This Row],[Date]]&lt;=EndDate),tblTx[[#This Row],[Amount]]-ROW()/10^7,""),"")</f>
        <v/>
      </c>
    </row>
    <row r="51">
      <c r="A51" s="32" t="n"/>
      <c r="B51" s="26" t="n"/>
      <c r="C51" s="24" t="n"/>
      <c r="D51" s="24" t="n"/>
      <c r="E51" s="25" t="n"/>
      <c r="F51" s="24" t="n"/>
      <c r="G51" s="24" t="n"/>
      <c r="H51" s="33" t="str">
        <f>IF(ISNUMBER(tblTx[[#This Row],[Date]]),DAY(tblTx[[#This Row],[Date]]),"")</f>
        <v/>
      </c>
      <c r="I51" s="33" t="str">
        <f>IF(ISNUMBER(tblTx[[#This Row],[Date]]),INT((DAY(tblTx[[#This Row],[Date]])-1)/7)+1,"")</f>
        <v/>
      </c>
      <c r="J51" s="34" t="str">
        <f>IF(ISNUMBER(tblTx[[#This Row],[Amount]]),IF(tblTx[[#This Row],[Type]]="Income",tblTx[[#This Row],[Amount]],IF(tblTx[[#This Row],[Type]]="Expense",-tblTx[[#This Row],[Amount]],0)),"")</f>
        <v/>
      </c>
      <c r="K51" s="35" t="str">
        <f>IF(AND(tblTx[[#This Row],[Type]]="Expense",ISNUMBER(tblTx[[#This Row],[Amount]]),ISNUMBER(tblTx[[#This Row],[Date]])),IF(AND(tblTx[[#This Row],[Date]]&gt;=StartDate,tblTx[[#This Row],[Date]]&lt;=EndDate),tblTx[[#This Row],[Amount]]-ROW()/10^7,""),"")</f>
        <v/>
      </c>
    </row>
    <row r="52">
      <c r="A52" s="32" t="n"/>
      <c r="B52" s="26" t="n"/>
      <c r="C52" s="24" t="n"/>
      <c r="D52" s="24" t="n"/>
      <c r="E52" s="25" t="n"/>
      <c r="F52" s="24" t="n"/>
      <c r="G52" s="24" t="n"/>
      <c r="H52" s="33" t="str">
        <f>IF(ISNUMBER(tblTx[[#This Row],[Date]]),DAY(tblTx[[#This Row],[Date]]),"")</f>
        <v/>
      </c>
      <c r="I52" s="33" t="str">
        <f>IF(ISNUMBER(tblTx[[#This Row],[Date]]),INT((DAY(tblTx[[#This Row],[Date]])-1)/7)+1,"")</f>
        <v/>
      </c>
      <c r="J52" s="34" t="str">
        <f>IF(ISNUMBER(tblTx[[#This Row],[Amount]]),IF(tblTx[[#This Row],[Type]]="Income",tblTx[[#This Row],[Amount]],IF(tblTx[[#This Row],[Type]]="Expense",-tblTx[[#This Row],[Amount]],0)),"")</f>
        <v/>
      </c>
      <c r="K52" s="35" t="str">
        <f>IF(AND(tblTx[[#This Row],[Type]]="Expense",ISNUMBER(tblTx[[#This Row],[Amount]]),ISNUMBER(tblTx[[#This Row],[Date]])),IF(AND(tblTx[[#This Row],[Date]]&gt;=StartDate,tblTx[[#This Row],[Date]]&lt;=EndDate),tblTx[[#This Row],[Amount]]-ROW()/10^7,""),"")</f>
        <v/>
      </c>
    </row>
    <row r="53">
      <c r="A53" s="32" t="n"/>
      <c r="B53" s="26" t="n"/>
      <c r="C53" s="24" t="n"/>
      <c r="D53" s="24" t="n"/>
      <c r="E53" s="25" t="n"/>
      <c r="F53" s="24" t="n"/>
      <c r="G53" s="24" t="n"/>
      <c r="H53" s="33" t="str">
        <f>IF(ISNUMBER(tblTx[[#This Row],[Date]]),DAY(tblTx[[#This Row],[Date]]),"")</f>
        <v/>
      </c>
      <c r="I53" s="33" t="str">
        <f>IF(ISNUMBER(tblTx[[#This Row],[Date]]),INT((DAY(tblTx[[#This Row],[Date]])-1)/7)+1,"")</f>
        <v/>
      </c>
      <c r="J53" s="34" t="str">
        <f>IF(ISNUMBER(tblTx[[#This Row],[Amount]]),IF(tblTx[[#This Row],[Type]]="Income",tblTx[[#This Row],[Amount]],IF(tblTx[[#This Row],[Type]]="Expense",-tblTx[[#This Row],[Amount]],0)),"")</f>
        <v/>
      </c>
      <c r="K53" s="35" t="str">
        <f>IF(AND(tblTx[[#This Row],[Type]]="Expense",ISNUMBER(tblTx[[#This Row],[Amount]]),ISNUMBER(tblTx[[#This Row],[Date]])),IF(AND(tblTx[[#This Row],[Date]]&gt;=StartDate,tblTx[[#This Row],[Date]]&lt;=EndDate),tblTx[[#This Row],[Amount]]-ROW()/10^7,""),"")</f>
        <v/>
      </c>
    </row>
    <row r="54">
      <c r="A54" s="32" t="n"/>
      <c r="B54" s="26" t="n"/>
      <c r="C54" s="24" t="n"/>
      <c r="D54" s="24" t="n"/>
      <c r="E54" s="25" t="n"/>
      <c r="F54" s="24" t="n"/>
      <c r="G54" s="24" t="n"/>
      <c r="H54" s="33" t="str">
        <f>IF(ISNUMBER(tblTx[[#This Row],[Date]]),DAY(tblTx[[#This Row],[Date]]),"")</f>
        <v/>
      </c>
      <c r="I54" s="33" t="str">
        <f>IF(ISNUMBER(tblTx[[#This Row],[Date]]),INT((DAY(tblTx[[#This Row],[Date]])-1)/7)+1,"")</f>
        <v/>
      </c>
      <c r="J54" s="34" t="str">
        <f>IF(ISNUMBER(tblTx[[#This Row],[Amount]]),IF(tblTx[[#This Row],[Type]]="Income",tblTx[[#This Row],[Amount]],IF(tblTx[[#This Row],[Type]]="Expense",-tblTx[[#This Row],[Amount]],0)),"")</f>
        <v/>
      </c>
      <c r="K54" s="35" t="str">
        <f>IF(AND(tblTx[[#This Row],[Type]]="Expense",ISNUMBER(tblTx[[#This Row],[Amount]]),ISNUMBER(tblTx[[#This Row],[Date]])),IF(AND(tblTx[[#This Row],[Date]]&gt;=StartDate,tblTx[[#This Row],[Date]]&lt;=EndDate),tblTx[[#This Row],[Amount]]-ROW()/10^7,""),"")</f>
        <v/>
      </c>
    </row>
    <row r="55">
      <c r="A55" s="32" t="n"/>
      <c r="B55" s="26" t="n"/>
      <c r="C55" s="24" t="n"/>
      <c r="D55" s="24" t="n"/>
      <c r="E55" s="25" t="n"/>
      <c r="F55" s="24" t="n"/>
      <c r="G55" s="24" t="n"/>
      <c r="H55" s="33" t="str">
        <f>IF(ISNUMBER(tblTx[[#This Row],[Date]]),DAY(tblTx[[#This Row],[Date]]),"")</f>
        <v/>
      </c>
      <c r="I55" s="33" t="str">
        <f>IF(ISNUMBER(tblTx[[#This Row],[Date]]),INT((DAY(tblTx[[#This Row],[Date]])-1)/7)+1,"")</f>
        <v/>
      </c>
      <c r="J55" s="34" t="str">
        <f>IF(ISNUMBER(tblTx[[#This Row],[Amount]]),IF(tblTx[[#This Row],[Type]]="Income",tblTx[[#This Row],[Amount]],IF(tblTx[[#This Row],[Type]]="Expense",-tblTx[[#This Row],[Amount]],0)),"")</f>
        <v/>
      </c>
      <c r="K55" s="35" t="str">
        <f>IF(AND(tblTx[[#This Row],[Type]]="Expense",ISNUMBER(tblTx[[#This Row],[Amount]]),ISNUMBER(tblTx[[#This Row],[Date]])),IF(AND(tblTx[[#This Row],[Date]]&gt;=StartDate,tblTx[[#This Row],[Date]]&lt;=EndDate),tblTx[[#This Row],[Amount]]-ROW()/10^7,""),"")</f>
        <v/>
      </c>
    </row>
    <row r="56">
      <c r="A56" s="32" t="n"/>
      <c r="B56" s="26" t="n"/>
      <c r="C56" s="24" t="n"/>
      <c r="D56" s="24" t="n"/>
      <c r="E56" s="25" t="n"/>
      <c r="F56" s="24" t="n"/>
      <c r="G56" s="24" t="n"/>
      <c r="H56" s="33" t="str">
        <f>IF(ISNUMBER(tblTx[[#This Row],[Date]]),DAY(tblTx[[#This Row],[Date]]),"")</f>
        <v/>
      </c>
      <c r="I56" s="33" t="str">
        <f>IF(ISNUMBER(tblTx[[#This Row],[Date]]),INT((DAY(tblTx[[#This Row],[Date]])-1)/7)+1,"")</f>
        <v/>
      </c>
      <c r="J56" s="34" t="str">
        <f>IF(ISNUMBER(tblTx[[#This Row],[Amount]]),IF(tblTx[[#This Row],[Type]]="Income",tblTx[[#This Row],[Amount]],IF(tblTx[[#This Row],[Type]]="Expense",-tblTx[[#This Row],[Amount]],0)),"")</f>
        <v/>
      </c>
      <c r="K56" s="35" t="str">
        <f>IF(AND(tblTx[[#This Row],[Type]]="Expense",ISNUMBER(tblTx[[#This Row],[Amount]]),ISNUMBER(tblTx[[#This Row],[Date]])),IF(AND(tblTx[[#This Row],[Date]]&gt;=StartDate,tblTx[[#This Row],[Date]]&lt;=EndDate),tblTx[[#This Row],[Amount]]-ROW()/10^7,""),"")</f>
        <v/>
      </c>
    </row>
    <row r="57">
      <c r="A57" s="32" t="n"/>
      <c r="B57" s="26" t="n"/>
      <c r="C57" s="24" t="n"/>
      <c r="D57" s="24" t="n"/>
      <c r="E57" s="25" t="n"/>
      <c r="F57" s="24" t="n"/>
      <c r="G57" s="24" t="n"/>
      <c r="H57" s="33" t="str">
        <f>IF(ISNUMBER(tblTx[[#This Row],[Date]]),DAY(tblTx[[#This Row],[Date]]),"")</f>
        <v/>
      </c>
      <c r="I57" s="33" t="str">
        <f>IF(ISNUMBER(tblTx[[#This Row],[Date]]),INT((DAY(tblTx[[#This Row],[Date]])-1)/7)+1,"")</f>
        <v/>
      </c>
      <c r="J57" s="34" t="str">
        <f>IF(ISNUMBER(tblTx[[#This Row],[Amount]]),IF(tblTx[[#This Row],[Type]]="Income",tblTx[[#This Row],[Amount]],IF(tblTx[[#This Row],[Type]]="Expense",-tblTx[[#This Row],[Amount]],0)),"")</f>
        <v/>
      </c>
      <c r="K57" s="35" t="str">
        <f>IF(AND(tblTx[[#This Row],[Type]]="Expense",ISNUMBER(tblTx[[#This Row],[Amount]]),ISNUMBER(tblTx[[#This Row],[Date]])),IF(AND(tblTx[[#This Row],[Date]]&gt;=StartDate,tblTx[[#This Row],[Date]]&lt;=EndDate),tblTx[[#This Row],[Amount]]-ROW()/10^7,""),"")</f>
        <v/>
      </c>
    </row>
    <row r="58">
      <c r="A58" s="32" t="n"/>
      <c r="B58" s="26" t="n"/>
      <c r="C58" s="24" t="n"/>
      <c r="D58" s="24" t="n"/>
      <c r="E58" s="25" t="n"/>
      <c r="F58" s="24" t="n"/>
      <c r="G58" s="24" t="n"/>
      <c r="H58" s="33" t="str">
        <f>IF(ISNUMBER(tblTx[[#This Row],[Date]]),DAY(tblTx[[#This Row],[Date]]),"")</f>
        <v/>
      </c>
      <c r="I58" s="33" t="str">
        <f>IF(ISNUMBER(tblTx[[#This Row],[Date]]),INT((DAY(tblTx[[#This Row],[Date]])-1)/7)+1,"")</f>
        <v/>
      </c>
      <c r="J58" s="34" t="str">
        <f>IF(ISNUMBER(tblTx[[#This Row],[Amount]]),IF(tblTx[[#This Row],[Type]]="Income",tblTx[[#This Row],[Amount]],IF(tblTx[[#This Row],[Type]]="Expense",-tblTx[[#This Row],[Amount]],0)),"")</f>
        <v/>
      </c>
      <c r="K58" s="35" t="str">
        <f>IF(AND(tblTx[[#This Row],[Type]]="Expense",ISNUMBER(tblTx[[#This Row],[Amount]]),ISNUMBER(tblTx[[#This Row],[Date]])),IF(AND(tblTx[[#This Row],[Date]]&gt;=StartDate,tblTx[[#This Row],[Date]]&lt;=EndDate),tblTx[[#This Row],[Amount]]-ROW()/10^7,""),"")</f>
        <v/>
      </c>
    </row>
    <row r="59">
      <c r="A59" s="32" t="n"/>
      <c r="B59" s="26" t="n"/>
      <c r="C59" s="24" t="n"/>
      <c r="D59" s="24" t="n"/>
      <c r="E59" s="25" t="n"/>
      <c r="F59" s="24" t="n"/>
      <c r="G59" s="24" t="n"/>
      <c r="H59" s="33" t="str">
        <f>IF(ISNUMBER(tblTx[[#This Row],[Date]]),DAY(tblTx[[#This Row],[Date]]),"")</f>
        <v/>
      </c>
      <c r="I59" s="33" t="str">
        <f>IF(ISNUMBER(tblTx[[#This Row],[Date]]),INT((DAY(tblTx[[#This Row],[Date]])-1)/7)+1,"")</f>
        <v/>
      </c>
      <c r="J59" s="34" t="str">
        <f>IF(ISNUMBER(tblTx[[#This Row],[Amount]]),IF(tblTx[[#This Row],[Type]]="Income",tblTx[[#This Row],[Amount]],IF(tblTx[[#This Row],[Type]]="Expense",-tblTx[[#This Row],[Amount]],0)),"")</f>
        <v/>
      </c>
      <c r="K59" s="35" t="str">
        <f>IF(AND(tblTx[[#This Row],[Type]]="Expense",ISNUMBER(tblTx[[#This Row],[Amount]]),ISNUMBER(tblTx[[#This Row],[Date]])),IF(AND(tblTx[[#This Row],[Date]]&gt;=StartDate,tblTx[[#This Row],[Date]]&lt;=EndDate),tblTx[[#This Row],[Amount]]-ROW()/10^7,""),"")</f>
        <v/>
      </c>
    </row>
    <row r="60">
      <c r="A60" s="32" t="n"/>
      <c r="B60" s="26" t="n"/>
      <c r="C60" s="24" t="n"/>
      <c r="D60" s="24" t="n"/>
      <c r="E60" s="25" t="n"/>
      <c r="F60" s="24" t="n"/>
      <c r="G60" s="24" t="n"/>
      <c r="H60" s="33" t="str">
        <f>IF(ISNUMBER(tblTx[[#This Row],[Date]]),DAY(tblTx[[#This Row],[Date]]),"")</f>
        <v/>
      </c>
      <c r="I60" s="33" t="str">
        <f>IF(ISNUMBER(tblTx[[#This Row],[Date]]),INT((DAY(tblTx[[#This Row],[Date]])-1)/7)+1,"")</f>
        <v/>
      </c>
      <c r="J60" s="34" t="str">
        <f>IF(ISNUMBER(tblTx[[#This Row],[Amount]]),IF(tblTx[[#This Row],[Type]]="Income",tblTx[[#This Row],[Amount]],IF(tblTx[[#This Row],[Type]]="Expense",-tblTx[[#This Row],[Amount]],0)),"")</f>
        <v/>
      </c>
      <c r="K60" s="35" t="str">
        <f>IF(AND(tblTx[[#This Row],[Type]]="Expense",ISNUMBER(tblTx[[#This Row],[Amount]]),ISNUMBER(tblTx[[#This Row],[Date]])),IF(AND(tblTx[[#This Row],[Date]]&gt;=StartDate,tblTx[[#This Row],[Date]]&lt;=EndDate),tblTx[[#This Row],[Amount]]-ROW()/10^7,""),"")</f>
        <v/>
      </c>
    </row>
    <row r="61">
      <c r="A61" s="32" t="n"/>
      <c r="B61" s="26" t="n"/>
      <c r="C61" s="24" t="n"/>
      <c r="D61" s="24" t="n"/>
      <c r="E61" s="25" t="n"/>
      <c r="F61" s="24" t="n"/>
      <c r="G61" s="24" t="n"/>
      <c r="H61" s="33" t="str">
        <f>IF(ISNUMBER(tblTx[[#This Row],[Date]]),DAY(tblTx[[#This Row],[Date]]),"")</f>
        <v/>
      </c>
      <c r="I61" s="33" t="str">
        <f>IF(ISNUMBER(tblTx[[#This Row],[Date]]),INT((DAY(tblTx[[#This Row],[Date]])-1)/7)+1,"")</f>
        <v/>
      </c>
      <c r="J61" s="34" t="str">
        <f>IF(ISNUMBER(tblTx[[#This Row],[Amount]]),IF(tblTx[[#This Row],[Type]]="Income",tblTx[[#This Row],[Amount]],IF(tblTx[[#This Row],[Type]]="Expense",-tblTx[[#This Row],[Amount]],0)),"")</f>
        <v/>
      </c>
      <c r="K61" s="35" t="str">
        <f>IF(AND(tblTx[[#This Row],[Type]]="Expense",ISNUMBER(tblTx[[#This Row],[Amount]]),ISNUMBER(tblTx[[#This Row],[Date]])),IF(AND(tblTx[[#This Row],[Date]]&gt;=StartDate,tblTx[[#This Row],[Date]]&lt;=EndDate),tblTx[[#This Row],[Amount]]-ROW()/10^7,""),"")</f>
        <v/>
      </c>
    </row>
    <row r="62">
      <c r="A62" s="32" t="n"/>
      <c r="B62" s="26" t="n"/>
      <c r="C62" s="24" t="n"/>
      <c r="D62" s="24" t="n"/>
      <c r="E62" s="25" t="n"/>
      <c r="F62" s="24" t="n"/>
      <c r="G62" s="24" t="n"/>
      <c r="H62" s="33" t="str">
        <f>IF(ISNUMBER(tblTx[[#This Row],[Date]]),DAY(tblTx[[#This Row],[Date]]),"")</f>
        <v/>
      </c>
      <c r="I62" s="33" t="str">
        <f>IF(ISNUMBER(tblTx[[#This Row],[Date]]),INT((DAY(tblTx[[#This Row],[Date]])-1)/7)+1,"")</f>
        <v/>
      </c>
      <c r="J62" s="34" t="str">
        <f>IF(ISNUMBER(tblTx[[#This Row],[Amount]]),IF(tblTx[[#This Row],[Type]]="Income",tblTx[[#This Row],[Amount]],IF(tblTx[[#This Row],[Type]]="Expense",-tblTx[[#This Row],[Amount]],0)),"")</f>
        <v/>
      </c>
      <c r="K62" s="35" t="str">
        <f>IF(AND(tblTx[[#This Row],[Type]]="Expense",ISNUMBER(tblTx[[#This Row],[Amount]]),ISNUMBER(tblTx[[#This Row],[Date]])),IF(AND(tblTx[[#This Row],[Date]]&gt;=StartDate,tblTx[[#This Row],[Date]]&lt;=EndDate),tblTx[[#This Row],[Amount]]-ROW()/10^7,""),"")</f>
        <v/>
      </c>
    </row>
    <row r="63">
      <c r="A63" s="32" t="n"/>
      <c r="B63" s="26" t="n"/>
      <c r="C63" s="24" t="n"/>
      <c r="D63" s="24" t="n"/>
      <c r="E63" s="25" t="n"/>
      <c r="F63" s="24" t="n"/>
      <c r="G63" s="24" t="n"/>
      <c r="H63" s="33" t="str">
        <f>IF(ISNUMBER(tblTx[[#This Row],[Date]]),DAY(tblTx[[#This Row],[Date]]),"")</f>
        <v/>
      </c>
      <c r="I63" s="33" t="str">
        <f>IF(ISNUMBER(tblTx[[#This Row],[Date]]),INT((DAY(tblTx[[#This Row],[Date]])-1)/7)+1,"")</f>
        <v/>
      </c>
      <c r="J63" s="34" t="str">
        <f>IF(ISNUMBER(tblTx[[#This Row],[Amount]]),IF(tblTx[[#This Row],[Type]]="Income",tblTx[[#This Row],[Amount]],IF(tblTx[[#This Row],[Type]]="Expense",-tblTx[[#This Row],[Amount]],0)),"")</f>
        <v/>
      </c>
      <c r="K63" s="35" t="str">
        <f>IF(AND(tblTx[[#This Row],[Type]]="Expense",ISNUMBER(tblTx[[#This Row],[Amount]]),ISNUMBER(tblTx[[#This Row],[Date]])),IF(AND(tblTx[[#This Row],[Date]]&gt;=StartDate,tblTx[[#This Row],[Date]]&lt;=EndDate),tblTx[[#This Row],[Amount]]-ROW()/10^7,""),"")</f>
        <v/>
      </c>
    </row>
    <row r="64">
      <c r="A64" s="32" t="n"/>
      <c r="B64" s="26" t="n"/>
      <c r="C64" s="24" t="n"/>
      <c r="D64" s="24" t="n"/>
      <c r="E64" s="25" t="n"/>
      <c r="F64" s="24" t="n"/>
      <c r="G64" s="24" t="n"/>
      <c r="H64" s="33" t="str">
        <f>IF(ISNUMBER(tblTx[[#This Row],[Date]]),DAY(tblTx[[#This Row],[Date]]),"")</f>
        <v/>
      </c>
      <c r="I64" s="33" t="str">
        <f>IF(ISNUMBER(tblTx[[#This Row],[Date]]),INT((DAY(tblTx[[#This Row],[Date]])-1)/7)+1,"")</f>
        <v/>
      </c>
      <c r="J64" s="34" t="str">
        <f>IF(ISNUMBER(tblTx[[#This Row],[Amount]]),IF(tblTx[[#This Row],[Type]]="Income",tblTx[[#This Row],[Amount]],IF(tblTx[[#This Row],[Type]]="Expense",-tblTx[[#This Row],[Amount]],0)),"")</f>
        <v/>
      </c>
      <c r="K64" s="35" t="str">
        <f>IF(AND(tblTx[[#This Row],[Type]]="Expense",ISNUMBER(tblTx[[#This Row],[Amount]]),ISNUMBER(tblTx[[#This Row],[Date]])),IF(AND(tblTx[[#This Row],[Date]]&gt;=StartDate,tblTx[[#This Row],[Date]]&lt;=EndDate),tblTx[[#This Row],[Amount]]-ROW()/10^7,""),"")</f>
        <v/>
      </c>
    </row>
    <row r="65">
      <c r="A65" s="32" t="n"/>
      <c r="B65" s="26" t="n"/>
      <c r="C65" s="24" t="n"/>
      <c r="D65" s="24" t="n"/>
      <c r="E65" s="25" t="n"/>
      <c r="F65" s="24" t="n"/>
      <c r="G65" s="24" t="n"/>
      <c r="H65" s="33" t="str">
        <f>IF(ISNUMBER(tblTx[[#This Row],[Date]]),DAY(tblTx[[#This Row],[Date]]),"")</f>
        <v/>
      </c>
      <c r="I65" s="33" t="str">
        <f>IF(ISNUMBER(tblTx[[#This Row],[Date]]),INT((DAY(tblTx[[#This Row],[Date]])-1)/7)+1,"")</f>
        <v/>
      </c>
      <c r="J65" s="34" t="str">
        <f>IF(ISNUMBER(tblTx[[#This Row],[Amount]]),IF(tblTx[[#This Row],[Type]]="Income",tblTx[[#This Row],[Amount]],IF(tblTx[[#This Row],[Type]]="Expense",-tblTx[[#This Row],[Amount]],0)),"")</f>
        <v/>
      </c>
      <c r="K65" s="35" t="str">
        <f>IF(AND(tblTx[[#This Row],[Type]]="Expense",ISNUMBER(tblTx[[#This Row],[Amount]]),ISNUMBER(tblTx[[#This Row],[Date]])),IF(AND(tblTx[[#This Row],[Date]]&gt;=StartDate,tblTx[[#This Row],[Date]]&lt;=EndDate),tblTx[[#This Row],[Amount]]-ROW()/10^7,""),"")</f>
        <v/>
      </c>
    </row>
    <row r="66">
      <c r="A66" s="32" t="n"/>
      <c r="B66" s="26" t="n"/>
      <c r="C66" s="24" t="n"/>
      <c r="D66" s="24" t="n"/>
      <c r="E66" s="25" t="n"/>
      <c r="F66" s="24" t="n"/>
      <c r="G66" s="24" t="n"/>
      <c r="H66" s="33" t="str">
        <f>IF(ISNUMBER(tblTx[[#This Row],[Date]]),DAY(tblTx[[#This Row],[Date]]),"")</f>
        <v/>
      </c>
      <c r="I66" s="33" t="str">
        <f>IF(ISNUMBER(tblTx[[#This Row],[Date]]),INT((DAY(tblTx[[#This Row],[Date]])-1)/7)+1,"")</f>
        <v/>
      </c>
      <c r="J66" s="34" t="str">
        <f>IF(ISNUMBER(tblTx[[#This Row],[Amount]]),IF(tblTx[[#This Row],[Type]]="Income",tblTx[[#This Row],[Amount]],IF(tblTx[[#This Row],[Type]]="Expense",-tblTx[[#This Row],[Amount]],0)),"")</f>
        <v/>
      </c>
      <c r="K66" s="35" t="str">
        <f>IF(AND(tblTx[[#This Row],[Type]]="Expense",ISNUMBER(tblTx[[#This Row],[Amount]]),ISNUMBER(tblTx[[#This Row],[Date]])),IF(AND(tblTx[[#This Row],[Date]]&gt;=StartDate,tblTx[[#This Row],[Date]]&lt;=EndDate),tblTx[[#This Row],[Amount]]-ROW()/10^7,""),"")</f>
        <v/>
      </c>
    </row>
    <row r="67">
      <c r="A67" s="32" t="n"/>
      <c r="B67" s="26" t="n"/>
      <c r="C67" s="24" t="n"/>
      <c r="D67" s="24" t="n"/>
      <c r="E67" s="25" t="n"/>
      <c r="F67" s="24" t="n"/>
      <c r="G67" s="24" t="n"/>
      <c r="H67" s="33" t="str">
        <f>IF(ISNUMBER(tblTx[[#This Row],[Date]]),DAY(tblTx[[#This Row],[Date]]),"")</f>
        <v/>
      </c>
      <c r="I67" s="33" t="str">
        <f>IF(ISNUMBER(tblTx[[#This Row],[Date]]),INT((DAY(tblTx[[#This Row],[Date]])-1)/7)+1,"")</f>
        <v/>
      </c>
      <c r="J67" s="34" t="str">
        <f>IF(ISNUMBER(tblTx[[#This Row],[Amount]]),IF(tblTx[[#This Row],[Type]]="Income",tblTx[[#This Row],[Amount]],IF(tblTx[[#This Row],[Type]]="Expense",-tblTx[[#This Row],[Amount]],0)),"")</f>
        <v/>
      </c>
      <c r="K67" s="35" t="str">
        <f>IF(AND(tblTx[[#This Row],[Type]]="Expense",ISNUMBER(tblTx[[#This Row],[Amount]]),ISNUMBER(tblTx[[#This Row],[Date]])),IF(AND(tblTx[[#This Row],[Date]]&gt;=StartDate,tblTx[[#This Row],[Date]]&lt;=EndDate),tblTx[[#This Row],[Amount]]-ROW()/10^7,""),"")</f>
        <v/>
      </c>
    </row>
    <row r="68">
      <c r="A68" s="32" t="n"/>
      <c r="B68" s="26" t="n"/>
      <c r="C68" s="24" t="n"/>
      <c r="D68" s="24" t="n"/>
      <c r="E68" s="25" t="n"/>
      <c r="F68" s="24" t="n"/>
      <c r="G68" s="24" t="n"/>
      <c r="H68" s="33" t="str">
        <f>IF(ISNUMBER(tblTx[[#This Row],[Date]]),DAY(tblTx[[#This Row],[Date]]),"")</f>
        <v/>
      </c>
      <c r="I68" s="33" t="str">
        <f>IF(ISNUMBER(tblTx[[#This Row],[Date]]),INT((DAY(tblTx[[#This Row],[Date]])-1)/7)+1,"")</f>
        <v/>
      </c>
      <c r="J68" s="34" t="str">
        <f>IF(ISNUMBER(tblTx[[#This Row],[Amount]]),IF(tblTx[[#This Row],[Type]]="Income",tblTx[[#This Row],[Amount]],IF(tblTx[[#This Row],[Type]]="Expense",-tblTx[[#This Row],[Amount]],0)),"")</f>
        <v/>
      </c>
      <c r="K68" s="35" t="str">
        <f>IF(AND(tblTx[[#This Row],[Type]]="Expense",ISNUMBER(tblTx[[#This Row],[Amount]]),ISNUMBER(tblTx[[#This Row],[Date]])),IF(AND(tblTx[[#This Row],[Date]]&gt;=StartDate,tblTx[[#This Row],[Date]]&lt;=EndDate),tblTx[[#This Row],[Amount]]-ROW()/10^7,""),"")</f>
        <v/>
      </c>
    </row>
    <row r="69">
      <c r="A69" s="32" t="n"/>
      <c r="B69" s="26" t="n"/>
      <c r="C69" s="24" t="n"/>
      <c r="D69" s="24" t="n"/>
      <c r="E69" s="25" t="n"/>
      <c r="F69" s="24" t="n"/>
      <c r="G69" s="24" t="n"/>
      <c r="H69" s="33" t="str">
        <f>IF(ISNUMBER(tblTx[[#This Row],[Date]]),DAY(tblTx[[#This Row],[Date]]),"")</f>
        <v/>
      </c>
      <c r="I69" s="33" t="str">
        <f>IF(ISNUMBER(tblTx[[#This Row],[Date]]),INT((DAY(tblTx[[#This Row],[Date]])-1)/7)+1,"")</f>
        <v/>
      </c>
      <c r="J69" s="34" t="str">
        <f>IF(ISNUMBER(tblTx[[#This Row],[Amount]]),IF(tblTx[[#This Row],[Type]]="Income",tblTx[[#This Row],[Amount]],IF(tblTx[[#This Row],[Type]]="Expense",-tblTx[[#This Row],[Amount]],0)),"")</f>
        <v/>
      </c>
      <c r="K69" s="35" t="str">
        <f>IF(AND(tblTx[[#This Row],[Type]]="Expense",ISNUMBER(tblTx[[#This Row],[Amount]]),ISNUMBER(tblTx[[#This Row],[Date]])),IF(AND(tblTx[[#This Row],[Date]]&gt;=StartDate,tblTx[[#This Row],[Date]]&lt;=EndDate),tblTx[[#This Row],[Amount]]-ROW()/10^7,""),"")</f>
        <v/>
      </c>
    </row>
    <row r="70">
      <c r="A70" s="32" t="n"/>
      <c r="B70" s="26" t="n"/>
      <c r="C70" s="24" t="n"/>
      <c r="D70" s="24" t="n"/>
      <c r="E70" s="25" t="n"/>
      <c r="F70" s="24" t="n"/>
      <c r="G70" s="24" t="n"/>
      <c r="H70" s="33" t="str">
        <f>IF(ISNUMBER(tblTx[[#This Row],[Date]]),DAY(tblTx[[#This Row],[Date]]),"")</f>
        <v/>
      </c>
      <c r="I70" s="33" t="str">
        <f>IF(ISNUMBER(tblTx[[#This Row],[Date]]),INT((DAY(tblTx[[#This Row],[Date]])-1)/7)+1,"")</f>
        <v/>
      </c>
      <c r="J70" s="34" t="str">
        <f>IF(ISNUMBER(tblTx[[#This Row],[Amount]]),IF(tblTx[[#This Row],[Type]]="Income",tblTx[[#This Row],[Amount]],IF(tblTx[[#This Row],[Type]]="Expense",-tblTx[[#This Row],[Amount]],0)),"")</f>
        <v/>
      </c>
      <c r="K70" s="35" t="str">
        <f>IF(AND(tblTx[[#This Row],[Type]]="Expense",ISNUMBER(tblTx[[#This Row],[Amount]]),ISNUMBER(tblTx[[#This Row],[Date]])),IF(AND(tblTx[[#This Row],[Date]]&gt;=StartDate,tblTx[[#This Row],[Date]]&lt;=EndDate),tblTx[[#This Row],[Amount]]-ROW()/10^7,""),"")</f>
        <v/>
      </c>
    </row>
    <row r="71">
      <c r="A71" s="32" t="n"/>
      <c r="B71" s="26" t="n"/>
      <c r="C71" s="24" t="n"/>
      <c r="D71" s="24" t="n"/>
      <c r="E71" s="25" t="n"/>
      <c r="F71" s="24" t="n"/>
      <c r="G71" s="24" t="n"/>
      <c r="H71" s="33" t="str">
        <f>IF(ISNUMBER(tblTx[[#This Row],[Date]]),DAY(tblTx[[#This Row],[Date]]),"")</f>
        <v/>
      </c>
      <c r="I71" s="33" t="str">
        <f>IF(ISNUMBER(tblTx[[#This Row],[Date]]),INT((DAY(tblTx[[#This Row],[Date]])-1)/7)+1,"")</f>
        <v/>
      </c>
      <c r="J71" s="34" t="str">
        <f>IF(ISNUMBER(tblTx[[#This Row],[Amount]]),IF(tblTx[[#This Row],[Type]]="Income",tblTx[[#This Row],[Amount]],IF(tblTx[[#This Row],[Type]]="Expense",-tblTx[[#This Row],[Amount]],0)),"")</f>
        <v/>
      </c>
      <c r="K71" s="35" t="str">
        <f>IF(AND(tblTx[[#This Row],[Type]]="Expense",ISNUMBER(tblTx[[#This Row],[Amount]]),ISNUMBER(tblTx[[#This Row],[Date]])),IF(AND(tblTx[[#This Row],[Date]]&gt;=StartDate,tblTx[[#This Row],[Date]]&lt;=EndDate),tblTx[[#This Row],[Amount]]-ROW()/10^7,""),"")</f>
        <v/>
      </c>
    </row>
    <row r="72">
      <c r="A72" s="32" t="n"/>
      <c r="B72" s="26" t="n"/>
      <c r="C72" s="24" t="n"/>
      <c r="D72" s="24" t="n"/>
      <c r="E72" s="25" t="n"/>
      <c r="F72" s="24" t="n"/>
      <c r="G72" s="24" t="n"/>
      <c r="H72" s="33" t="str">
        <f>IF(ISNUMBER(tblTx[[#This Row],[Date]]),DAY(tblTx[[#This Row],[Date]]),"")</f>
        <v/>
      </c>
      <c r="I72" s="33" t="str">
        <f>IF(ISNUMBER(tblTx[[#This Row],[Date]]),INT((DAY(tblTx[[#This Row],[Date]])-1)/7)+1,"")</f>
        <v/>
      </c>
      <c r="J72" s="34" t="str">
        <f>IF(ISNUMBER(tblTx[[#This Row],[Amount]]),IF(tblTx[[#This Row],[Type]]="Income",tblTx[[#This Row],[Amount]],IF(tblTx[[#This Row],[Type]]="Expense",-tblTx[[#This Row],[Amount]],0)),"")</f>
        <v/>
      </c>
      <c r="K72" s="35" t="str">
        <f>IF(AND(tblTx[[#This Row],[Type]]="Expense",ISNUMBER(tblTx[[#This Row],[Amount]]),ISNUMBER(tblTx[[#This Row],[Date]])),IF(AND(tblTx[[#This Row],[Date]]&gt;=StartDate,tblTx[[#This Row],[Date]]&lt;=EndDate),tblTx[[#This Row],[Amount]]-ROW()/10^7,""),"")</f>
        <v/>
      </c>
    </row>
    <row r="73">
      <c r="A73" s="32" t="n"/>
      <c r="B73" s="26" t="n"/>
      <c r="C73" s="24" t="n"/>
      <c r="D73" s="24" t="n"/>
      <c r="E73" s="25" t="n"/>
      <c r="F73" s="24" t="n"/>
      <c r="G73" s="24" t="n"/>
      <c r="H73" s="33" t="str">
        <f>IF(ISNUMBER(tblTx[[#This Row],[Date]]),DAY(tblTx[[#This Row],[Date]]),"")</f>
        <v/>
      </c>
      <c r="I73" s="33" t="str">
        <f>IF(ISNUMBER(tblTx[[#This Row],[Date]]),INT((DAY(tblTx[[#This Row],[Date]])-1)/7)+1,"")</f>
        <v/>
      </c>
      <c r="J73" s="34" t="str">
        <f>IF(ISNUMBER(tblTx[[#This Row],[Amount]]),IF(tblTx[[#This Row],[Type]]="Income",tblTx[[#This Row],[Amount]],IF(tblTx[[#This Row],[Type]]="Expense",-tblTx[[#This Row],[Amount]],0)),"")</f>
        <v/>
      </c>
      <c r="K73" s="35" t="str">
        <f>IF(AND(tblTx[[#This Row],[Type]]="Expense",ISNUMBER(tblTx[[#This Row],[Amount]]),ISNUMBER(tblTx[[#This Row],[Date]])),IF(AND(tblTx[[#This Row],[Date]]&gt;=StartDate,tblTx[[#This Row],[Date]]&lt;=EndDate),tblTx[[#This Row],[Amount]]-ROW()/10^7,""),"")</f>
        <v/>
      </c>
    </row>
    <row r="74">
      <c r="A74" s="32" t="n"/>
      <c r="B74" s="26" t="n"/>
      <c r="C74" s="24" t="n"/>
      <c r="D74" s="24" t="n"/>
      <c r="E74" s="25" t="n"/>
      <c r="F74" s="24" t="n"/>
      <c r="G74" s="24" t="n"/>
      <c r="H74" s="33" t="str">
        <f>IF(ISNUMBER(tblTx[[#This Row],[Date]]),DAY(tblTx[[#This Row],[Date]]),"")</f>
        <v/>
      </c>
      <c r="I74" s="33" t="str">
        <f>IF(ISNUMBER(tblTx[[#This Row],[Date]]),INT((DAY(tblTx[[#This Row],[Date]])-1)/7)+1,"")</f>
        <v/>
      </c>
      <c r="J74" s="34" t="str">
        <f>IF(ISNUMBER(tblTx[[#This Row],[Amount]]),IF(tblTx[[#This Row],[Type]]="Income",tblTx[[#This Row],[Amount]],IF(tblTx[[#This Row],[Type]]="Expense",-tblTx[[#This Row],[Amount]],0)),"")</f>
        <v/>
      </c>
      <c r="K74" s="35" t="str">
        <f>IF(AND(tblTx[[#This Row],[Type]]="Expense",ISNUMBER(tblTx[[#This Row],[Amount]]),ISNUMBER(tblTx[[#This Row],[Date]])),IF(AND(tblTx[[#This Row],[Date]]&gt;=StartDate,tblTx[[#This Row],[Date]]&lt;=EndDate),tblTx[[#This Row],[Amount]]-ROW()/10^7,""),"")</f>
        <v/>
      </c>
    </row>
    <row r="75">
      <c r="A75" s="32" t="n"/>
      <c r="B75" s="26" t="n"/>
      <c r="C75" s="24" t="n"/>
      <c r="D75" s="24" t="n"/>
      <c r="E75" s="25" t="n"/>
      <c r="F75" s="24" t="n"/>
      <c r="G75" s="24" t="n"/>
      <c r="H75" s="33" t="str">
        <f>IF(ISNUMBER(tblTx[[#This Row],[Date]]),DAY(tblTx[[#This Row],[Date]]),"")</f>
        <v/>
      </c>
      <c r="I75" s="33" t="str">
        <f>IF(ISNUMBER(tblTx[[#This Row],[Date]]),INT((DAY(tblTx[[#This Row],[Date]])-1)/7)+1,"")</f>
        <v/>
      </c>
      <c r="J75" s="34" t="str">
        <f>IF(ISNUMBER(tblTx[[#This Row],[Amount]]),IF(tblTx[[#This Row],[Type]]="Income",tblTx[[#This Row],[Amount]],IF(tblTx[[#This Row],[Type]]="Expense",-tblTx[[#This Row],[Amount]],0)),"")</f>
        <v/>
      </c>
      <c r="K75" s="35" t="str">
        <f>IF(AND(tblTx[[#This Row],[Type]]="Expense",ISNUMBER(tblTx[[#This Row],[Amount]]),ISNUMBER(tblTx[[#This Row],[Date]])),IF(AND(tblTx[[#This Row],[Date]]&gt;=StartDate,tblTx[[#This Row],[Date]]&lt;=EndDate),tblTx[[#This Row],[Amount]]-ROW()/10^7,""),"")</f>
        <v/>
      </c>
    </row>
    <row r="76">
      <c r="A76" s="32" t="n"/>
      <c r="B76" s="26" t="n"/>
      <c r="C76" s="24" t="n"/>
      <c r="D76" s="24" t="n"/>
      <c r="E76" s="25" t="n"/>
      <c r="F76" s="24" t="n"/>
      <c r="G76" s="24" t="n"/>
      <c r="H76" s="33" t="str">
        <f>IF(ISNUMBER(tblTx[[#This Row],[Date]]),DAY(tblTx[[#This Row],[Date]]),"")</f>
        <v/>
      </c>
      <c r="I76" s="33" t="str">
        <f>IF(ISNUMBER(tblTx[[#This Row],[Date]]),INT((DAY(tblTx[[#This Row],[Date]])-1)/7)+1,"")</f>
        <v/>
      </c>
      <c r="J76" s="34" t="str">
        <f>IF(ISNUMBER(tblTx[[#This Row],[Amount]]),IF(tblTx[[#This Row],[Type]]="Income",tblTx[[#This Row],[Amount]],IF(tblTx[[#This Row],[Type]]="Expense",-tblTx[[#This Row],[Amount]],0)),"")</f>
        <v/>
      </c>
      <c r="K76" s="35" t="str">
        <f>IF(AND(tblTx[[#This Row],[Type]]="Expense",ISNUMBER(tblTx[[#This Row],[Amount]]),ISNUMBER(tblTx[[#This Row],[Date]])),IF(AND(tblTx[[#This Row],[Date]]&gt;=StartDate,tblTx[[#This Row],[Date]]&lt;=EndDate),tblTx[[#This Row],[Amount]]-ROW()/10^7,""),"")</f>
        <v/>
      </c>
    </row>
    <row r="77">
      <c r="A77" s="32" t="n"/>
      <c r="B77" s="26" t="n"/>
      <c r="C77" s="24" t="n"/>
      <c r="D77" s="24" t="n"/>
      <c r="E77" s="25" t="n"/>
      <c r="F77" s="24" t="n"/>
      <c r="G77" s="24" t="n"/>
      <c r="H77" s="33" t="str">
        <f>IF(ISNUMBER(tblTx[[#This Row],[Date]]),DAY(tblTx[[#This Row],[Date]]),"")</f>
        <v/>
      </c>
      <c r="I77" s="33" t="str">
        <f>IF(ISNUMBER(tblTx[[#This Row],[Date]]),INT((DAY(tblTx[[#This Row],[Date]])-1)/7)+1,"")</f>
        <v/>
      </c>
      <c r="J77" s="34" t="str">
        <f>IF(ISNUMBER(tblTx[[#This Row],[Amount]]),IF(tblTx[[#This Row],[Type]]="Income",tblTx[[#This Row],[Amount]],IF(tblTx[[#This Row],[Type]]="Expense",-tblTx[[#This Row],[Amount]],0)),"")</f>
        <v/>
      </c>
      <c r="K77" s="35" t="str">
        <f>IF(AND(tblTx[[#This Row],[Type]]="Expense",ISNUMBER(tblTx[[#This Row],[Amount]]),ISNUMBER(tblTx[[#This Row],[Date]])),IF(AND(tblTx[[#This Row],[Date]]&gt;=StartDate,tblTx[[#This Row],[Date]]&lt;=EndDate),tblTx[[#This Row],[Amount]]-ROW()/10^7,""),"")</f>
        <v/>
      </c>
    </row>
    <row r="78">
      <c r="A78" s="32" t="n"/>
      <c r="B78" s="26" t="n"/>
      <c r="C78" s="24" t="n"/>
      <c r="D78" s="24" t="n"/>
      <c r="E78" s="25" t="n"/>
      <c r="F78" s="24" t="n"/>
      <c r="G78" s="24" t="n"/>
      <c r="H78" s="33" t="str">
        <f>IF(ISNUMBER(tblTx[[#This Row],[Date]]),DAY(tblTx[[#This Row],[Date]]),"")</f>
        <v/>
      </c>
      <c r="I78" s="33" t="str">
        <f>IF(ISNUMBER(tblTx[[#This Row],[Date]]),INT((DAY(tblTx[[#This Row],[Date]])-1)/7)+1,"")</f>
        <v/>
      </c>
      <c r="J78" s="34" t="str">
        <f>IF(ISNUMBER(tblTx[[#This Row],[Amount]]),IF(tblTx[[#This Row],[Type]]="Income",tblTx[[#This Row],[Amount]],IF(tblTx[[#This Row],[Type]]="Expense",-tblTx[[#This Row],[Amount]],0)),"")</f>
        <v/>
      </c>
      <c r="K78" s="35" t="str">
        <f>IF(AND(tblTx[[#This Row],[Type]]="Expense",ISNUMBER(tblTx[[#This Row],[Amount]]),ISNUMBER(tblTx[[#This Row],[Date]])),IF(AND(tblTx[[#This Row],[Date]]&gt;=StartDate,tblTx[[#This Row],[Date]]&lt;=EndDate),tblTx[[#This Row],[Amount]]-ROW()/10^7,""),"")</f>
        <v/>
      </c>
    </row>
    <row r="79">
      <c r="A79" s="32" t="n"/>
      <c r="B79" s="26" t="n"/>
      <c r="C79" s="24" t="n"/>
      <c r="D79" s="24" t="n"/>
      <c r="E79" s="25" t="n"/>
      <c r="F79" s="24" t="n"/>
      <c r="G79" s="24" t="n"/>
      <c r="H79" s="33" t="str">
        <f>IF(ISNUMBER(tblTx[[#This Row],[Date]]),DAY(tblTx[[#This Row],[Date]]),"")</f>
        <v/>
      </c>
      <c r="I79" s="33" t="str">
        <f>IF(ISNUMBER(tblTx[[#This Row],[Date]]),INT((DAY(tblTx[[#This Row],[Date]])-1)/7)+1,"")</f>
        <v/>
      </c>
      <c r="J79" s="34" t="str">
        <f>IF(ISNUMBER(tblTx[[#This Row],[Amount]]),IF(tblTx[[#This Row],[Type]]="Income",tblTx[[#This Row],[Amount]],IF(tblTx[[#This Row],[Type]]="Expense",-tblTx[[#This Row],[Amount]],0)),"")</f>
        <v/>
      </c>
      <c r="K79" s="35" t="str">
        <f>IF(AND(tblTx[[#This Row],[Type]]="Expense",ISNUMBER(tblTx[[#This Row],[Amount]]),ISNUMBER(tblTx[[#This Row],[Date]])),IF(AND(tblTx[[#This Row],[Date]]&gt;=StartDate,tblTx[[#This Row],[Date]]&lt;=EndDate),tblTx[[#This Row],[Amount]]-ROW()/10^7,""),"")</f>
        <v/>
      </c>
    </row>
    <row r="80">
      <c r="A80" s="32" t="n"/>
      <c r="B80" s="26" t="n"/>
      <c r="C80" s="24" t="n"/>
      <c r="D80" s="24" t="n"/>
      <c r="E80" s="25" t="n"/>
      <c r="F80" s="24" t="n"/>
      <c r="G80" s="24" t="n"/>
      <c r="H80" s="33" t="str">
        <f>IF(ISNUMBER(tblTx[[#This Row],[Date]]),DAY(tblTx[[#This Row],[Date]]),"")</f>
        <v/>
      </c>
      <c r="I80" s="33" t="str">
        <f>IF(ISNUMBER(tblTx[[#This Row],[Date]]),INT((DAY(tblTx[[#This Row],[Date]])-1)/7)+1,"")</f>
        <v/>
      </c>
      <c r="J80" s="34" t="str">
        <f>IF(ISNUMBER(tblTx[[#This Row],[Amount]]),IF(tblTx[[#This Row],[Type]]="Income",tblTx[[#This Row],[Amount]],IF(tblTx[[#This Row],[Type]]="Expense",-tblTx[[#This Row],[Amount]],0)),"")</f>
        <v/>
      </c>
      <c r="K80" s="35" t="str">
        <f>IF(AND(tblTx[[#This Row],[Type]]="Expense",ISNUMBER(tblTx[[#This Row],[Amount]]),ISNUMBER(tblTx[[#This Row],[Date]])),IF(AND(tblTx[[#This Row],[Date]]&gt;=StartDate,tblTx[[#This Row],[Date]]&lt;=EndDate),tblTx[[#This Row],[Amount]]-ROW()/10^7,""),"")</f>
        <v/>
      </c>
    </row>
    <row r="81">
      <c r="A81" s="32" t="n"/>
      <c r="B81" s="26" t="n"/>
      <c r="C81" s="24" t="n"/>
      <c r="D81" s="24" t="n"/>
      <c r="E81" s="25" t="n"/>
      <c r="F81" s="24" t="n"/>
      <c r="G81" s="24" t="n"/>
      <c r="H81" s="33" t="str">
        <f>IF(ISNUMBER(tblTx[[#This Row],[Date]]),DAY(tblTx[[#This Row],[Date]]),"")</f>
        <v/>
      </c>
      <c r="I81" s="33" t="str">
        <f>IF(ISNUMBER(tblTx[[#This Row],[Date]]),INT((DAY(tblTx[[#This Row],[Date]])-1)/7)+1,"")</f>
        <v/>
      </c>
      <c r="J81" s="34" t="str">
        <f>IF(ISNUMBER(tblTx[[#This Row],[Amount]]),IF(tblTx[[#This Row],[Type]]="Income",tblTx[[#This Row],[Amount]],IF(tblTx[[#This Row],[Type]]="Expense",-tblTx[[#This Row],[Amount]],0)),"")</f>
        <v/>
      </c>
      <c r="K81" s="35" t="str">
        <f>IF(AND(tblTx[[#This Row],[Type]]="Expense",ISNUMBER(tblTx[[#This Row],[Amount]]),ISNUMBER(tblTx[[#This Row],[Date]])),IF(AND(tblTx[[#This Row],[Date]]&gt;=StartDate,tblTx[[#This Row],[Date]]&lt;=EndDate),tblTx[[#This Row],[Amount]]-ROW()/10^7,""),"")</f>
        <v/>
      </c>
    </row>
    <row r="82">
      <c r="A82" s="32" t="n"/>
      <c r="B82" s="26" t="n"/>
      <c r="C82" s="24" t="n"/>
      <c r="D82" s="24" t="n"/>
      <c r="E82" s="25" t="n"/>
      <c r="F82" s="24" t="n"/>
      <c r="G82" s="24" t="n"/>
      <c r="H82" s="33" t="str">
        <f>IF(ISNUMBER(tblTx[[#This Row],[Date]]),DAY(tblTx[[#This Row],[Date]]),"")</f>
        <v/>
      </c>
      <c r="I82" s="33" t="str">
        <f>IF(ISNUMBER(tblTx[[#This Row],[Date]]),INT((DAY(tblTx[[#This Row],[Date]])-1)/7)+1,"")</f>
        <v/>
      </c>
      <c r="J82" s="34" t="str">
        <f>IF(ISNUMBER(tblTx[[#This Row],[Amount]]),IF(tblTx[[#This Row],[Type]]="Income",tblTx[[#This Row],[Amount]],IF(tblTx[[#This Row],[Type]]="Expense",-tblTx[[#This Row],[Amount]],0)),"")</f>
        <v/>
      </c>
      <c r="K82" s="35" t="str">
        <f>IF(AND(tblTx[[#This Row],[Type]]="Expense",ISNUMBER(tblTx[[#This Row],[Amount]]),ISNUMBER(tblTx[[#This Row],[Date]])),IF(AND(tblTx[[#This Row],[Date]]&gt;=StartDate,tblTx[[#This Row],[Date]]&lt;=EndDate),tblTx[[#This Row],[Amount]]-ROW()/10^7,""),"")</f>
        <v/>
      </c>
    </row>
    <row r="83">
      <c r="A83" s="32" t="n"/>
      <c r="B83" s="26" t="n"/>
      <c r="C83" s="24" t="n"/>
      <c r="D83" s="24" t="n"/>
      <c r="E83" s="25" t="n"/>
      <c r="F83" s="24" t="n"/>
      <c r="G83" s="24" t="n"/>
      <c r="H83" s="33" t="str">
        <f>IF(ISNUMBER(tblTx[[#This Row],[Date]]),DAY(tblTx[[#This Row],[Date]]),"")</f>
        <v/>
      </c>
      <c r="I83" s="33" t="str">
        <f>IF(ISNUMBER(tblTx[[#This Row],[Date]]),INT((DAY(tblTx[[#This Row],[Date]])-1)/7)+1,"")</f>
        <v/>
      </c>
      <c r="J83" s="34" t="str">
        <f>IF(ISNUMBER(tblTx[[#This Row],[Amount]]),IF(tblTx[[#This Row],[Type]]="Income",tblTx[[#This Row],[Amount]],IF(tblTx[[#This Row],[Type]]="Expense",-tblTx[[#This Row],[Amount]],0)),"")</f>
        <v/>
      </c>
      <c r="K83" s="35" t="str">
        <f>IF(AND(tblTx[[#This Row],[Type]]="Expense",ISNUMBER(tblTx[[#This Row],[Amount]]),ISNUMBER(tblTx[[#This Row],[Date]])),IF(AND(tblTx[[#This Row],[Date]]&gt;=StartDate,tblTx[[#This Row],[Date]]&lt;=EndDate),tblTx[[#This Row],[Amount]]-ROW()/10^7,""),"")</f>
        <v/>
      </c>
    </row>
    <row r="84">
      <c r="A84" s="32" t="n"/>
      <c r="B84" s="26" t="n"/>
      <c r="C84" s="24" t="n"/>
      <c r="D84" s="24" t="n"/>
      <c r="E84" s="25" t="n"/>
      <c r="F84" s="24" t="n"/>
      <c r="G84" s="24" t="n"/>
      <c r="H84" s="33" t="str">
        <f>IF(ISNUMBER(tblTx[[#This Row],[Date]]),DAY(tblTx[[#This Row],[Date]]),"")</f>
        <v/>
      </c>
      <c r="I84" s="33" t="str">
        <f>IF(ISNUMBER(tblTx[[#This Row],[Date]]),INT((DAY(tblTx[[#This Row],[Date]])-1)/7)+1,"")</f>
        <v/>
      </c>
      <c r="J84" s="34" t="str">
        <f>IF(ISNUMBER(tblTx[[#This Row],[Amount]]),IF(tblTx[[#This Row],[Type]]="Income",tblTx[[#This Row],[Amount]],IF(tblTx[[#This Row],[Type]]="Expense",-tblTx[[#This Row],[Amount]],0)),"")</f>
        <v/>
      </c>
      <c r="K84" s="35" t="str">
        <f>IF(AND(tblTx[[#This Row],[Type]]="Expense",ISNUMBER(tblTx[[#This Row],[Amount]]),ISNUMBER(tblTx[[#This Row],[Date]])),IF(AND(tblTx[[#This Row],[Date]]&gt;=StartDate,tblTx[[#This Row],[Date]]&lt;=EndDate),tblTx[[#This Row],[Amount]]-ROW()/10^7,""),"")</f>
        <v/>
      </c>
    </row>
    <row r="85">
      <c r="A85" s="32" t="n"/>
      <c r="B85" s="26" t="n"/>
      <c r="C85" s="24" t="n"/>
      <c r="D85" s="24" t="n"/>
      <c r="E85" s="25" t="n"/>
      <c r="F85" s="24" t="n"/>
      <c r="G85" s="24" t="n"/>
      <c r="H85" s="33" t="str">
        <f>IF(ISNUMBER(tblTx[[#This Row],[Date]]),DAY(tblTx[[#This Row],[Date]]),"")</f>
        <v/>
      </c>
      <c r="I85" s="33" t="str">
        <f>IF(ISNUMBER(tblTx[[#This Row],[Date]]),INT((DAY(tblTx[[#This Row],[Date]])-1)/7)+1,"")</f>
        <v/>
      </c>
      <c r="J85" s="34" t="str">
        <f>IF(ISNUMBER(tblTx[[#This Row],[Amount]]),IF(tblTx[[#This Row],[Type]]="Income",tblTx[[#This Row],[Amount]],IF(tblTx[[#This Row],[Type]]="Expense",-tblTx[[#This Row],[Amount]],0)),"")</f>
        <v/>
      </c>
      <c r="K85" s="35" t="str">
        <f>IF(AND(tblTx[[#This Row],[Type]]="Expense",ISNUMBER(tblTx[[#This Row],[Amount]]),ISNUMBER(tblTx[[#This Row],[Date]])),IF(AND(tblTx[[#This Row],[Date]]&gt;=StartDate,tblTx[[#This Row],[Date]]&lt;=EndDate),tblTx[[#This Row],[Amount]]-ROW()/10^7,""),"")</f>
        <v/>
      </c>
    </row>
    <row r="86">
      <c r="A86" s="32" t="n"/>
      <c r="B86" s="26" t="n"/>
      <c r="C86" s="24" t="n"/>
      <c r="D86" s="24" t="n"/>
      <c r="E86" s="25" t="n"/>
      <c r="F86" s="24" t="n"/>
      <c r="G86" s="24" t="n"/>
      <c r="H86" s="33" t="str">
        <f>IF(ISNUMBER(tblTx[[#This Row],[Date]]),DAY(tblTx[[#This Row],[Date]]),"")</f>
        <v/>
      </c>
      <c r="I86" s="33" t="str">
        <f>IF(ISNUMBER(tblTx[[#This Row],[Date]]),INT((DAY(tblTx[[#This Row],[Date]])-1)/7)+1,"")</f>
        <v/>
      </c>
      <c r="J86" s="34" t="str">
        <f>IF(ISNUMBER(tblTx[[#This Row],[Amount]]),IF(tblTx[[#This Row],[Type]]="Income",tblTx[[#This Row],[Amount]],IF(tblTx[[#This Row],[Type]]="Expense",-tblTx[[#This Row],[Amount]],0)),"")</f>
        <v/>
      </c>
      <c r="K86" s="35" t="str">
        <f>IF(AND(tblTx[[#This Row],[Type]]="Expense",ISNUMBER(tblTx[[#This Row],[Amount]]),ISNUMBER(tblTx[[#This Row],[Date]])),IF(AND(tblTx[[#This Row],[Date]]&gt;=StartDate,tblTx[[#This Row],[Date]]&lt;=EndDate),tblTx[[#This Row],[Amount]]-ROW()/10^7,""),"")</f>
        <v/>
      </c>
    </row>
    <row r="87">
      <c r="A87" s="32" t="n"/>
      <c r="B87" s="26" t="n"/>
      <c r="C87" s="24" t="n"/>
      <c r="D87" s="24" t="n"/>
      <c r="E87" s="25" t="n"/>
      <c r="F87" s="24" t="n"/>
      <c r="G87" s="24" t="n"/>
      <c r="H87" s="33" t="str">
        <f>IF(ISNUMBER(tblTx[[#This Row],[Date]]),DAY(tblTx[[#This Row],[Date]]),"")</f>
        <v/>
      </c>
      <c r="I87" s="33" t="str">
        <f>IF(ISNUMBER(tblTx[[#This Row],[Date]]),INT((DAY(tblTx[[#This Row],[Date]])-1)/7)+1,"")</f>
        <v/>
      </c>
      <c r="J87" s="34" t="str">
        <f>IF(ISNUMBER(tblTx[[#This Row],[Amount]]),IF(tblTx[[#This Row],[Type]]="Income",tblTx[[#This Row],[Amount]],IF(tblTx[[#This Row],[Type]]="Expense",-tblTx[[#This Row],[Amount]],0)),"")</f>
        <v/>
      </c>
      <c r="K87" s="35" t="str">
        <f>IF(AND(tblTx[[#This Row],[Type]]="Expense",ISNUMBER(tblTx[[#This Row],[Amount]]),ISNUMBER(tblTx[[#This Row],[Date]])),IF(AND(tblTx[[#This Row],[Date]]&gt;=StartDate,tblTx[[#This Row],[Date]]&lt;=EndDate),tblTx[[#This Row],[Amount]]-ROW()/10^7,""),"")</f>
        <v/>
      </c>
    </row>
    <row r="88">
      <c r="A88" s="32" t="n"/>
      <c r="B88" s="26" t="n"/>
      <c r="C88" s="24" t="n"/>
      <c r="D88" s="24" t="n"/>
      <c r="E88" s="25" t="n"/>
      <c r="F88" s="24" t="n"/>
      <c r="G88" s="24" t="n"/>
      <c r="H88" s="33" t="str">
        <f>IF(ISNUMBER(tblTx[[#This Row],[Date]]),DAY(tblTx[[#This Row],[Date]]),"")</f>
        <v/>
      </c>
      <c r="I88" s="33" t="str">
        <f>IF(ISNUMBER(tblTx[[#This Row],[Date]]),INT((DAY(tblTx[[#This Row],[Date]])-1)/7)+1,"")</f>
        <v/>
      </c>
      <c r="J88" s="34" t="str">
        <f>IF(ISNUMBER(tblTx[[#This Row],[Amount]]),IF(tblTx[[#This Row],[Type]]="Income",tblTx[[#This Row],[Amount]],IF(tblTx[[#This Row],[Type]]="Expense",-tblTx[[#This Row],[Amount]],0)),"")</f>
        <v/>
      </c>
      <c r="K88" s="35" t="str">
        <f>IF(AND(tblTx[[#This Row],[Type]]="Expense",ISNUMBER(tblTx[[#This Row],[Amount]]),ISNUMBER(tblTx[[#This Row],[Date]])),IF(AND(tblTx[[#This Row],[Date]]&gt;=StartDate,tblTx[[#This Row],[Date]]&lt;=EndDate),tblTx[[#This Row],[Amount]]-ROW()/10^7,""),"")</f>
        <v/>
      </c>
    </row>
    <row r="89">
      <c r="A89" s="32" t="n"/>
      <c r="B89" s="26" t="n"/>
      <c r="C89" s="24" t="n"/>
      <c r="D89" s="24" t="n"/>
      <c r="E89" s="25" t="n"/>
      <c r="F89" s="24" t="n"/>
      <c r="G89" s="24" t="n"/>
      <c r="H89" s="33" t="str">
        <f>IF(ISNUMBER(tblTx[[#This Row],[Date]]),DAY(tblTx[[#This Row],[Date]]),"")</f>
        <v/>
      </c>
      <c r="I89" s="33" t="str">
        <f>IF(ISNUMBER(tblTx[[#This Row],[Date]]),INT((DAY(tblTx[[#This Row],[Date]])-1)/7)+1,"")</f>
        <v/>
      </c>
      <c r="J89" s="34" t="str">
        <f>IF(ISNUMBER(tblTx[[#This Row],[Amount]]),IF(tblTx[[#This Row],[Type]]="Income",tblTx[[#This Row],[Amount]],IF(tblTx[[#This Row],[Type]]="Expense",-tblTx[[#This Row],[Amount]],0)),"")</f>
        <v/>
      </c>
      <c r="K89" s="35" t="str">
        <f>IF(AND(tblTx[[#This Row],[Type]]="Expense",ISNUMBER(tblTx[[#This Row],[Amount]]),ISNUMBER(tblTx[[#This Row],[Date]])),IF(AND(tblTx[[#This Row],[Date]]&gt;=StartDate,tblTx[[#This Row],[Date]]&lt;=EndDate),tblTx[[#This Row],[Amount]]-ROW()/10^7,""),"")</f>
        <v/>
      </c>
    </row>
    <row r="90">
      <c r="A90" s="32" t="n"/>
      <c r="B90" s="26" t="n"/>
      <c r="C90" s="24" t="n"/>
      <c r="D90" s="24" t="n"/>
      <c r="E90" s="25" t="n"/>
      <c r="F90" s="24" t="n"/>
      <c r="G90" s="24" t="n"/>
      <c r="H90" s="33" t="str">
        <f>IF(ISNUMBER(tblTx[[#This Row],[Date]]),DAY(tblTx[[#This Row],[Date]]),"")</f>
        <v/>
      </c>
      <c r="I90" s="33" t="str">
        <f>IF(ISNUMBER(tblTx[[#This Row],[Date]]),INT((DAY(tblTx[[#This Row],[Date]])-1)/7)+1,"")</f>
        <v/>
      </c>
      <c r="J90" s="34" t="str">
        <f>IF(ISNUMBER(tblTx[[#This Row],[Amount]]),IF(tblTx[[#This Row],[Type]]="Income",tblTx[[#This Row],[Amount]],IF(tblTx[[#This Row],[Type]]="Expense",-tblTx[[#This Row],[Amount]],0)),"")</f>
        <v/>
      </c>
      <c r="K90" s="35" t="str">
        <f>IF(AND(tblTx[[#This Row],[Type]]="Expense",ISNUMBER(tblTx[[#This Row],[Amount]]),ISNUMBER(tblTx[[#This Row],[Date]])),IF(AND(tblTx[[#This Row],[Date]]&gt;=StartDate,tblTx[[#This Row],[Date]]&lt;=EndDate),tblTx[[#This Row],[Amount]]-ROW()/10^7,""),"")</f>
        <v/>
      </c>
    </row>
    <row r="91">
      <c r="A91" s="32" t="n"/>
      <c r="B91" s="26" t="n"/>
      <c r="C91" s="24" t="n"/>
      <c r="D91" s="24" t="n"/>
      <c r="E91" s="25" t="n"/>
      <c r="F91" s="24" t="n"/>
      <c r="G91" s="24" t="n"/>
      <c r="H91" s="33" t="str">
        <f>IF(ISNUMBER(tblTx[[#This Row],[Date]]),DAY(tblTx[[#This Row],[Date]]),"")</f>
        <v/>
      </c>
      <c r="I91" s="33" t="str">
        <f>IF(ISNUMBER(tblTx[[#This Row],[Date]]),INT((DAY(tblTx[[#This Row],[Date]])-1)/7)+1,"")</f>
        <v/>
      </c>
      <c r="J91" s="34" t="str">
        <f>IF(ISNUMBER(tblTx[[#This Row],[Amount]]),IF(tblTx[[#This Row],[Type]]="Income",tblTx[[#This Row],[Amount]],IF(tblTx[[#This Row],[Type]]="Expense",-tblTx[[#This Row],[Amount]],0)),"")</f>
        <v/>
      </c>
      <c r="K91" s="35" t="str">
        <f>IF(AND(tblTx[[#This Row],[Type]]="Expense",ISNUMBER(tblTx[[#This Row],[Amount]]),ISNUMBER(tblTx[[#This Row],[Date]])),IF(AND(tblTx[[#This Row],[Date]]&gt;=StartDate,tblTx[[#This Row],[Date]]&lt;=EndDate),tblTx[[#This Row],[Amount]]-ROW()/10^7,""),"")</f>
        <v/>
      </c>
    </row>
    <row r="92">
      <c r="A92" s="32" t="n"/>
      <c r="B92" s="26" t="n"/>
      <c r="C92" s="24" t="n"/>
      <c r="D92" s="24" t="n"/>
      <c r="E92" s="25" t="n"/>
      <c r="F92" s="24" t="n"/>
      <c r="G92" s="24" t="n"/>
      <c r="H92" s="33" t="str">
        <f>IF(ISNUMBER(tblTx[[#This Row],[Date]]),DAY(tblTx[[#This Row],[Date]]),"")</f>
        <v/>
      </c>
      <c r="I92" s="33" t="str">
        <f>IF(ISNUMBER(tblTx[[#This Row],[Date]]),INT((DAY(tblTx[[#This Row],[Date]])-1)/7)+1,"")</f>
        <v/>
      </c>
      <c r="J92" s="34" t="str">
        <f>IF(ISNUMBER(tblTx[[#This Row],[Amount]]),IF(tblTx[[#This Row],[Type]]="Income",tblTx[[#This Row],[Amount]],IF(tblTx[[#This Row],[Type]]="Expense",-tblTx[[#This Row],[Amount]],0)),"")</f>
        <v/>
      </c>
      <c r="K92" s="35" t="str">
        <f>IF(AND(tblTx[[#This Row],[Type]]="Expense",ISNUMBER(tblTx[[#This Row],[Amount]]),ISNUMBER(tblTx[[#This Row],[Date]])),IF(AND(tblTx[[#This Row],[Date]]&gt;=StartDate,tblTx[[#This Row],[Date]]&lt;=EndDate),tblTx[[#This Row],[Amount]]-ROW()/10^7,""),"")</f>
        <v/>
      </c>
    </row>
    <row r="93">
      <c r="A93" s="32" t="n"/>
      <c r="B93" s="26" t="n"/>
      <c r="C93" s="24" t="n"/>
      <c r="D93" s="24" t="n"/>
      <c r="E93" s="25" t="n"/>
      <c r="F93" s="24" t="n"/>
      <c r="G93" s="24" t="n"/>
      <c r="H93" s="33" t="str">
        <f>IF(ISNUMBER(tblTx[[#This Row],[Date]]),DAY(tblTx[[#This Row],[Date]]),"")</f>
        <v/>
      </c>
      <c r="I93" s="33" t="str">
        <f>IF(ISNUMBER(tblTx[[#This Row],[Date]]),INT((DAY(tblTx[[#This Row],[Date]])-1)/7)+1,"")</f>
        <v/>
      </c>
      <c r="J93" s="34" t="str">
        <f>IF(ISNUMBER(tblTx[[#This Row],[Amount]]),IF(tblTx[[#This Row],[Type]]="Income",tblTx[[#This Row],[Amount]],IF(tblTx[[#This Row],[Type]]="Expense",-tblTx[[#This Row],[Amount]],0)),"")</f>
        <v/>
      </c>
      <c r="K93" s="35" t="str">
        <f>IF(AND(tblTx[[#This Row],[Type]]="Expense",ISNUMBER(tblTx[[#This Row],[Amount]]),ISNUMBER(tblTx[[#This Row],[Date]])),IF(AND(tblTx[[#This Row],[Date]]&gt;=StartDate,tblTx[[#This Row],[Date]]&lt;=EndDate),tblTx[[#This Row],[Amount]]-ROW()/10^7,""),"")</f>
        <v/>
      </c>
    </row>
    <row r="94">
      <c r="A94" s="32" t="n"/>
      <c r="B94" s="26" t="n"/>
      <c r="C94" s="24" t="n"/>
      <c r="D94" s="24" t="n"/>
      <c r="E94" s="25" t="n"/>
      <c r="F94" s="24" t="n"/>
      <c r="G94" s="24" t="n"/>
      <c r="H94" s="33" t="str">
        <f>IF(ISNUMBER(tblTx[[#This Row],[Date]]),DAY(tblTx[[#This Row],[Date]]),"")</f>
        <v/>
      </c>
      <c r="I94" s="33" t="str">
        <f>IF(ISNUMBER(tblTx[[#This Row],[Date]]),INT((DAY(tblTx[[#This Row],[Date]])-1)/7)+1,"")</f>
        <v/>
      </c>
      <c r="J94" s="34" t="str">
        <f>IF(ISNUMBER(tblTx[[#This Row],[Amount]]),IF(tblTx[[#This Row],[Type]]="Income",tblTx[[#This Row],[Amount]],IF(tblTx[[#This Row],[Type]]="Expense",-tblTx[[#This Row],[Amount]],0)),"")</f>
        <v/>
      </c>
      <c r="K94" s="35" t="str">
        <f>IF(AND(tblTx[[#This Row],[Type]]="Expense",ISNUMBER(tblTx[[#This Row],[Amount]]),ISNUMBER(tblTx[[#This Row],[Date]])),IF(AND(tblTx[[#This Row],[Date]]&gt;=StartDate,tblTx[[#This Row],[Date]]&lt;=EndDate),tblTx[[#This Row],[Amount]]-ROW()/10^7,""),"")</f>
        <v/>
      </c>
    </row>
    <row r="95">
      <c r="A95" s="32" t="n"/>
      <c r="B95" s="26" t="n"/>
      <c r="C95" s="24" t="n"/>
      <c r="D95" s="24" t="n"/>
      <c r="E95" s="25" t="n"/>
      <c r="F95" s="24" t="n"/>
      <c r="G95" s="24" t="n"/>
      <c r="H95" s="33" t="str">
        <f>IF(ISNUMBER(tblTx[[#This Row],[Date]]),DAY(tblTx[[#This Row],[Date]]),"")</f>
        <v/>
      </c>
      <c r="I95" s="33" t="str">
        <f>IF(ISNUMBER(tblTx[[#This Row],[Date]]),INT((DAY(tblTx[[#This Row],[Date]])-1)/7)+1,"")</f>
        <v/>
      </c>
      <c r="J95" s="34" t="str">
        <f>IF(ISNUMBER(tblTx[[#This Row],[Amount]]),IF(tblTx[[#This Row],[Type]]="Income",tblTx[[#This Row],[Amount]],IF(tblTx[[#This Row],[Type]]="Expense",-tblTx[[#This Row],[Amount]],0)),"")</f>
        <v/>
      </c>
      <c r="K95" s="35" t="str">
        <f>IF(AND(tblTx[[#This Row],[Type]]="Expense",ISNUMBER(tblTx[[#This Row],[Amount]]),ISNUMBER(tblTx[[#This Row],[Date]])),IF(AND(tblTx[[#This Row],[Date]]&gt;=StartDate,tblTx[[#This Row],[Date]]&lt;=EndDate),tblTx[[#This Row],[Amount]]-ROW()/10^7,""),"")</f>
        <v/>
      </c>
    </row>
    <row r="96">
      <c r="A96" s="32" t="n"/>
      <c r="B96" s="26" t="n"/>
      <c r="C96" s="24" t="n"/>
      <c r="D96" s="24" t="n"/>
      <c r="E96" s="25" t="n"/>
      <c r="F96" s="24" t="n"/>
      <c r="G96" s="24" t="n"/>
      <c r="H96" s="33" t="str">
        <f>IF(ISNUMBER(tblTx[[#This Row],[Date]]),DAY(tblTx[[#This Row],[Date]]),"")</f>
        <v/>
      </c>
      <c r="I96" s="33" t="str">
        <f>IF(ISNUMBER(tblTx[[#This Row],[Date]]),INT((DAY(tblTx[[#This Row],[Date]])-1)/7)+1,"")</f>
        <v/>
      </c>
      <c r="J96" s="34" t="str">
        <f>IF(ISNUMBER(tblTx[[#This Row],[Amount]]),IF(tblTx[[#This Row],[Type]]="Income",tblTx[[#This Row],[Amount]],IF(tblTx[[#This Row],[Type]]="Expense",-tblTx[[#This Row],[Amount]],0)),"")</f>
        <v/>
      </c>
      <c r="K96" s="35" t="str">
        <f>IF(AND(tblTx[[#This Row],[Type]]="Expense",ISNUMBER(tblTx[[#This Row],[Amount]]),ISNUMBER(tblTx[[#This Row],[Date]])),IF(AND(tblTx[[#This Row],[Date]]&gt;=StartDate,tblTx[[#This Row],[Date]]&lt;=EndDate),tblTx[[#This Row],[Amount]]-ROW()/10^7,""),"")</f>
        <v/>
      </c>
    </row>
    <row r="97">
      <c r="A97" s="32" t="n"/>
      <c r="B97" s="26" t="n"/>
      <c r="C97" s="24" t="n"/>
      <c r="D97" s="24" t="n"/>
      <c r="E97" s="25" t="n"/>
      <c r="F97" s="24" t="n"/>
      <c r="G97" s="24" t="n"/>
      <c r="H97" s="33" t="str">
        <f>IF(ISNUMBER(tblTx[[#This Row],[Date]]),DAY(tblTx[[#This Row],[Date]]),"")</f>
        <v/>
      </c>
      <c r="I97" s="33" t="str">
        <f>IF(ISNUMBER(tblTx[[#This Row],[Date]]),INT((DAY(tblTx[[#This Row],[Date]])-1)/7)+1,"")</f>
        <v/>
      </c>
      <c r="J97" s="34" t="str">
        <f>IF(ISNUMBER(tblTx[[#This Row],[Amount]]),IF(tblTx[[#This Row],[Type]]="Income",tblTx[[#This Row],[Amount]],IF(tblTx[[#This Row],[Type]]="Expense",-tblTx[[#This Row],[Amount]],0)),"")</f>
        <v/>
      </c>
      <c r="K97" s="35" t="str">
        <f>IF(AND(tblTx[[#This Row],[Type]]="Expense",ISNUMBER(tblTx[[#This Row],[Amount]]),ISNUMBER(tblTx[[#This Row],[Date]])),IF(AND(tblTx[[#This Row],[Date]]&gt;=StartDate,tblTx[[#This Row],[Date]]&lt;=EndDate),tblTx[[#This Row],[Amount]]-ROW()/10^7,""),"")</f>
        <v/>
      </c>
    </row>
    <row r="98">
      <c r="A98" s="32" t="n"/>
      <c r="B98" s="26" t="n"/>
      <c r="C98" s="24" t="n"/>
      <c r="D98" s="24" t="n"/>
      <c r="E98" s="25" t="n"/>
      <c r="F98" s="24" t="n"/>
      <c r="G98" s="24" t="n"/>
      <c r="H98" s="33" t="str">
        <f>IF(ISNUMBER(tblTx[[#This Row],[Date]]),DAY(tblTx[[#This Row],[Date]]),"")</f>
        <v/>
      </c>
      <c r="I98" s="33" t="str">
        <f>IF(ISNUMBER(tblTx[[#This Row],[Date]]),INT((DAY(tblTx[[#This Row],[Date]])-1)/7)+1,"")</f>
        <v/>
      </c>
      <c r="J98" s="34" t="str">
        <f>IF(ISNUMBER(tblTx[[#This Row],[Amount]]),IF(tblTx[[#This Row],[Type]]="Income",tblTx[[#This Row],[Amount]],IF(tblTx[[#This Row],[Type]]="Expense",-tblTx[[#This Row],[Amount]],0)),"")</f>
        <v/>
      </c>
      <c r="K98" s="35" t="str">
        <f>IF(AND(tblTx[[#This Row],[Type]]="Expense",ISNUMBER(tblTx[[#This Row],[Amount]]),ISNUMBER(tblTx[[#This Row],[Date]])),IF(AND(tblTx[[#This Row],[Date]]&gt;=StartDate,tblTx[[#This Row],[Date]]&lt;=EndDate),tblTx[[#This Row],[Amount]]-ROW()/10^7,""),"")</f>
        <v/>
      </c>
    </row>
    <row r="99">
      <c r="A99" s="32" t="n"/>
      <c r="B99" s="26" t="n"/>
      <c r="C99" s="24" t="n"/>
      <c r="D99" s="24" t="n"/>
      <c r="E99" s="25" t="n"/>
      <c r="F99" s="24" t="n"/>
      <c r="G99" s="24" t="n"/>
      <c r="H99" s="33" t="str">
        <f>IF(ISNUMBER(tblTx[[#This Row],[Date]]),DAY(tblTx[[#This Row],[Date]]),"")</f>
        <v/>
      </c>
      <c r="I99" s="33" t="str">
        <f>IF(ISNUMBER(tblTx[[#This Row],[Date]]),INT((DAY(tblTx[[#This Row],[Date]])-1)/7)+1,"")</f>
        <v/>
      </c>
      <c r="J99" s="34" t="str">
        <f>IF(ISNUMBER(tblTx[[#This Row],[Amount]]),IF(tblTx[[#This Row],[Type]]="Income",tblTx[[#This Row],[Amount]],IF(tblTx[[#This Row],[Type]]="Expense",-tblTx[[#This Row],[Amount]],0)),"")</f>
        <v/>
      </c>
      <c r="K99" s="35" t="str">
        <f>IF(AND(tblTx[[#This Row],[Type]]="Expense",ISNUMBER(tblTx[[#This Row],[Amount]]),ISNUMBER(tblTx[[#This Row],[Date]])),IF(AND(tblTx[[#This Row],[Date]]&gt;=StartDate,tblTx[[#This Row],[Date]]&lt;=EndDate),tblTx[[#This Row],[Amount]]-ROW()/10^7,""),"")</f>
        <v/>
      </c>
    </row>
    <row r="100">
      <c r="A100" s="32" t="n"/>
      <c r="B100" s="26" t="n"/>
      <c r="C100" s="24" t="n"/>
      <c r="D100" s="24" t="n"/>
      <c r="E100" s="25" t="n"/>
      <c r="F100" s="24" t="n"/>
      <c r="G100" s="24" t="n"/>
      <c r="H100" s="33" t="str">
        <f>IF(ISNUMBER(tblTx[[#This Row],[Date]]),DAY(tblTx[[#This Row],[Date]]),"")</f>
        <v/>
      </c>
      <c r="I100" s="33" t="str">
        <f>IF(ISNUMBER(tblTx[[#This Row],[Date]]),INT((DAY(tblTx[[#This Row],[Date]])-1)/7)+1,"")</f>
        <v/>
      </c>
      <c r="J100" s="34" t="str">
        <f>IF(ISNUMBER(tblTx[[#This Row],[Amount]]),IF(tblTx[[#This Row],[Type]]="Income",tblTx[[#This Row],[Amount]],IF(tblTx[[#This Row],[Type]]="Expense",-tblTx[[#This Row],[Amount]],0)),"")</f>
        <v/>
      </c>
      <c r="K100" s="35" t="str">
        <f>IF(AND(tblTx[[#This Row],[Type]]="Expense",ISNUMBER(tblTx[[#This Row],[Amount]]),ISNUMBER(tblTx[[#This Row],[Date]])),IF(AND(tblTx[[#This Row],[Date]]&gt;=StartDate,tblTx[[#This Row],[Date]]&lt;=EndDate),tblTx[[#This Row],[Amount]]-ROW()/10^7,""),"")</f>
        <v/>
      </c>
    </row>
    <row r="101">
      <c r="A101" s="32" t="n"/>
      <c r="B101" s="26" t="n"/>
      <c r="C101" s="24" t="n"/>
      <c r="D101" s="24" t="n"/>
      <c r="E101" s="25" t="n"/>
      <c r="F101" s="24" t="n"/>
      <c r="G101" s="24" t="n"/>
      <c r="H101" s="33" t="str">
        <f>IF(ISNUMBER(tblTx[[#This Row],[Date]]),DAY(tblTx[[#This Row],[Date]]),"")</f>
        <v/>
      </c>
      <c r="I101" s="33" t="str">
        <f>IF(ISNUMBER(tblTx[[#This Row],[Date]]),INT((DAY(tblTx[[#This Row],[Date]])-1)/7)+1,"")</f>
        <v/>
      </c>
      <c r="J101" s="34" t="str">
        <f>IF(ISNUMBER(tblTx[[#This Row],[Amount]]),IF(tblTx[[#This Row],[Type]]="Income",tblTx[[#This Row],[Amount]],IF(tblTx[[#This Row],[Type]]="Expense",-tblTx[[#This Row],[Amount]],0)),"")</f>
        <v/>
      </c>
      <c r="K101" s="35" t="str">
        <f>IF(AND(tblTx[[#This Row],[Type]]="Expense",ISNUMBER(tblTx[[#This Row],[Amount]]),ISNUMBER(tblTx[[#This Row],[Date]])),IF(AND(tblTx[[#This Row],[Date]]&gt;=StartDate,tblTx[[#This Row],[Date]]&lt;=EndDate),tblTx[[#This Row],[Amount]]-ROW()/10^7,""),"")</f>
        <v/>
      </c>
    </row>
    <row r="102">
      <c r="A102" s="32" t="n"/>
      <c r="B102" s="26" t="n"/>
      <c r="C102" s="24" t="n"/>
      <c r="D102" s="24" t="n"/>
      <c r="E102" s="25" t="n"/>
      <c r="F102" s="24" t="n"/>
      <c r="G102" s="24" t="n"/>
      <c r="H102" s="33" t="str">
        <f>IF(ISNUMBER(tblTx[[#This Row],[Date]]),DAY(tblTx[[#This Row],[Date]]),"")</f>
        <v/>
      </c>
      <c r="I102" s="33" t="str">
        <f>IF(ISNUMBER(tblTx[[#This Row],[Date]]),INT((DAY(tblTx[[#This Row],[Date]])-1)/7)+1,"")</f>
        <v/>
      </c>
      <c r="J102" s="34" t="str">
        <f>IF(ISNUMBER(tblTx[[#This Row],[Amount]]),IF(tblTx[[#This Row],[Type]]="Income",tblTx[[#This Row],[Amount]],IF(tblTx[[#This Row],[Type]]="Expense",-tblTx[[#This Row],[Amount]],0)),"")</f>
        <v/>
      </c>
      <c r="K102" s="35" t="str">
        <f>IF(AND(tblTx[[#This Row],[Type]]="Expense",ISNUMBER(tblTx[[#This Row],[Amount]]),ISNUMBER(tblTx[[#This Row],[Date]])),IF(AND(tblTx[[#This Row],[Date]]&gt;=StartDate,tblTx[[#This Row],[Date]]&lt;=EndDate),tblTx[[#This Row],[Amount]]-ROW()/10^7,""),"")</f>
        <v/>
      </c>
    </row>
    <row r="103">
      <c r="A103" s="32" t="n"/>
      <c r="B103" s="26" t="n"/>
      <c r="C103" s="24" t="n"/>
      <c r="D103" s="24" t="n"/>
      <c r="E103" s="25" t="n"/>
      <c r="F103" s="24" t="n"/>
      <c r="G103" s="24" t="n"/>
      <c r="H103" s="33" t="str">
        <f>IF(ISNUMBER(tblTx[[#This Row],[Date]]),DAY(tblTx[[#This Row],[Date]]),"")</f>
        <v/>
      </c>
      <c r="I103" s="33" t="str">
        <f>IF(ISNUMBER(tblTx[[#This Row],[Date]]),INT((DAY(tblTx[[#This Row],[Date]])-1)/7)+1,"")</f>
        <v/>
      </c>
      <c r="J103" s="34" t="str">
        <f>IF(ISNUMBER(tblTx[[#This Row],[Amount]]),IF(tblTx[[#This Row],[Type]]="Income",tblTx[[#This Row],[Amount]],IF(tblTx[[#This Row],[Type]]="Expense",-tblTx[[#This Row],[Amount]],0)),"")</f>
        <v/>
      </c>
      <c r="K103" s="35" t="str">
        <f>IF(AND(tblTx[[#This Row],[Type]]="Expense",ISNUMBER(tblTx[[#This Row],[Amount]]),ISNUMBER(tblTx[[#This Row],[Date]])),IF(AND(tblTx[[#This Row],[Date]]&gt;=StartDate,tblTx[[#This Row],[Date]]&lt;=EndDate),tblTx[[#This Row],[Amount]]-ROW()/10^7,""),"")</f>
        <v/>
      </c>
    </row>
    <row r="104">
      <c r="A104" s="32" t="n"/>
      <c r="B104" s="26" t="n"/>
      <c r="C104" s="24" t="n"/>
      <c r="D104" s="24" t="n"/>
      <c r="E104" s="25" t="n"/>
      <c r="F104" s="24" t="n"/>
      <c r="G104" s="24" t="n"/>
      <c r="H104" s="33" t="str">
        <f>IF(ISNUMBER(tblTx[[#This Row],[Date]]),DAY(tblTx[[#This Row],[Date]]),"")</f>
        <v/>
      </c>
      <c r="I104" s="33" t="str">
        <f>IF(ISNUMBER(tblTx[[#This Row],[Date]]),INT((DAY(tblTx[[#This Row],[Date]])-1)/7)+1,"")</f>
        <v/>
      </c>
      <c r="J104" s="34" t="str">
        <f>IF(ISNUMBER(tblTx[[#This Row],[Amount]]),IF(tblTx[[#This Row],[Type]]="Income",tblTx[[#This Row],[Amount]],IF(tblTx[[#This Row],[Type]]="Expense",-tblTx[[#This Row],[Amount]],0)),"")</f>
        <v/>
      </c>
      <c r="K104" s="35" t="str">
        <f>IF(AND(tblTx[[#This Row],[Type]]="Expense",ISNUMBER(tblTx[[#This Row],[Amount]]),ISNUMBER(tblTx[[#This Row],[Date]])),IF(AND(tblTx[[#This Row],[Date]]&gt;=StartDate,tblTx[[#This Row],[Date]]&lt;=EndDate),tblTx[[#This Row],[Amount]]-ROW()/10^7,""),"")</f>
        <v/>
      </c>
    </row>
    <row r="105">
      <c r="A105" s="32" t="n"/>
      <c r="B105" s="26" t="n"/>
      <c r="C105" s="24" t="n"/>
      <c r="D105" s="24" t="n"/>
      <c r="E105" s="25" t="n"/>
      <c r="F105" s="24" t="n"/>
      <c r="G105" s="24" t="n"/>
      <c r="H105" s="33" t="str">
        <f>IF(ISNUMBER(tblTx[[#This Row],[Date]]),DAY(tblTx[[#This Row],[Date]]),"")</f>
        <v/>
      </c>
      <c r="I105" s="33" t="str">
        <f>IF(ISNUMBER(tblTx[[#This Row],[Date]]),INT((DAY(tblTx[[#This Row],[Date]])-1)/7)+1,"")</f>
        <v/>
      </c>
      <c r="J105" s="34" t="str">
        <f>IF(ISNUMBER(tblTx[[#This Row],[Amount]]),IF(tblTx[[#This Row],[Type]]="Income",tblTx[[#This Row],[Amount]],IF(tblTx[[#This Row],[Type]]="Expense",-tblTx[[#This Row],[Amount]],0)),"")</f>
        <v/>
      </c>
      <c r="K105" s="35" t="str">
        <f>IF(AND(tblTx[[#This Row],[Type]]="Expense",ISNUMBER(tblTx[[#This Row],[Amount]]),ISNUMBER(tblTx[[#This Row],[Date]])),IF(AND(tblTx[[#This Row],[Date]]&gt;=StartDate,tblTx[[#This Row],[Date]]&lt;=EndDate),tblTx[[#This Row],[Amount]]-ROW()/10^7,""),"")</f>
        <v/>
      </c>
    </row>
    <row r="106">
      <c r="A106" s="32" t="n"/>
      <c r="B106" s="26" t="n"/>
      <c r="C106" s="24" t="n"/>
      <c r="D106" s="24" t="n"/>
      <c r="E106" s="25" t="n"/>
      <c r="F106" s="24" t="n"/>
      <c r="G106" s="24" t="n"/>
      <c r="H106" s="33" t="str">
        <f>IF(ISNUMBER(tblTx[[#This Row],[Date]]),DAY(tblTx[[#This Row],[Date]]),"")</f>
        <v/>
      </c>
      <c r="I106" s="33" t="str">
        <f>IF(ISNUMBER(tblTx[[#This Row],[Date]]),INT((DAY(tblTx[[#This Row],[Date]])-1)/7)+1,"")</f>
        <v/>
      </c>
      <c r="J106" s="34" t="str">
        <f>IF(ISNUMBER(tblTx[[#This Row],[Amount]]),IF(tblTx[[#This Row],[Type]]="Income",tblTx[[#This Row],[Amount]],IF(tblTx[[#This Row],[Type]]="Expense",-tblTx[[#This Row],[Amount]],0)),"")</f>
        <v/>
      </c>
      <c r="K106" s="35" t="str">
        <f>IF(AND(tblTx[[#This Row],[Type]]="Expense",ISNUMBER(tblTx[[#This Row],[Amount]]),ISNUMBER(tblTx[[#This Row],[Date]])),IF(AND(tblTx[[#This Row],[Date]]&gt;=StartDate,tblTx[[#This Row],[Date]]&lt;=EndDate),tblTx[[#This Row],[Amount]]-ROW()/10^7,""),"")</f>
        <v/>
      </c>
    </row>
    <row r="107">
      <c r="A107" s="32" t="n"/>
      <c r="B107" s="26" t="n"/>
      <c r="C107" s="24" t="n"/>
      <c r="D107" s="24" t="n"/>
      <c r="E107" s="25" t="n"/>
      <c r="F107" s="24" t="n"/>
      <c r="G107" s="24" t="n"/>
      <c r="H107" s="33" t="str">
        <f>IF(ISNUMBER(tblTx[[#This Row],[Date]]),DAY(tblTx[[#This Row],[Date]]),"")</f>
        <v/>
      </c>
      <c r="I107" s="33" t="str">
        <f>IF(ISNUMBER(tblTx[[#This Row],[Date]]),INT((DAY(tblTx[[#This Row],[Date]])-1)/7)+1,"")</f>
        <v/>
      </c>
      <c r="J107" s="34" t="str">
        <f>IF(ISNUMBER(tblTx[[#This Row],[Amount]]),IF(tblTx[[#This Row],[Type]]="Income",tblTx[[#This Row],[Amount]],IF(tblTx[[#This Row],[Type]]="Expense",-tblTx[[#This Row],[Amount]],0)),"")</f>
        <v/>
      </c>
      <c r="K107" s="35" t="str">
        <f>IF(AND(tblTx[[#This Row],[Type]]="Expense",ISNUMBER(tblTx[[#This Row],[Amount]]),ISNUMBER(tblTx[[#This Row],[Date]])),IF(AND(tblTx[[#This Row],[Date]]&gt;=StartDate,tblTx[[#This Row],[Date]]&lt;=EndDate),tblTx[[#This Row],[Amount]]-ROW()/10^7,""),"")</f>
        <v/>
      </c>
    </row>
    <row r="108">
      <c r="A108" s="32" t="n"/>
      <c r="B108" s="26" t="n"/>
      <c r="C108" s="24" t="n"/>
      <c r="D108" s="24" t="n"/>
      <c r="E108" s="25" t="n"/>
      <c r="F108" s="24" t="n"/>
      <c r="G108" s="24" t="n"/>
      <c r="H108" s="33" t="str">
        <f>IF(ISNUMBER(tblTx[[#This Row],[Date]]),DAY(tblTx[[#This Row],[Date]]),"")</f>
        <v/>
      </c>
      <c r="I108" s="33" t="str">
        <f>IF(ISNUMBER(tblTx[[#This Row],[Date]]),INT((DAY(tblTx[[#This Row],[Date]])-1)/7)+1,"")</f>
        <v/>
      </c>
      <c r="J108" s="34" t="str">
        <f>IF(ISNUMBER(tblTx[[#This Row],[Amount]]),IF(tblTx[[#This Row],[Type]]="Income",tblTx[[#This Row],[Amount]],IF(tblTx[[#This Row],[Type]]="Expense",-tblTx[[#This Row],[Amount]],0)),"")</f>
        <v/>
      </c>
      <c r="K108" s="35" t="str">
        <f>IF(AND(tblTx[[#This Row],[Type]]="Expense",ISNUMBER(tblTx[[#This Row],[Amount]]),ISNUMBER(tblTx[[#This Row],[Date]])),IF(AND(tblTx[[#This Row],[Date]]&gt;=StartDate,tblTx[[#This Row],[Date]]&lt;=EndDate),tblTx[[#This Row],[Amount]]-ROW()/10^7,""),"")</f>
        <v/>
      </c>
    </row>
    <row r="109">
      <c r="A109" s="32" t="n"/>
      <c r="B109" s="26" t="n"/>
      <c r="C109" s="24" t="n"/>
      <c r="D109" s="24" t="n"/>
      <c r="E109" s="25" t="n"/>
      <c r="F109" s="24" t="n"/>
      <c r="G109" s="24" t="n"/>
      <c r="H109" s="33" t="str">
        <f>IF(ISNUMBER(tblTx[[#This Row],[Date]]),DAY(tblTx[[#This Row],[Date]]),"")</f>
        <v/>
      </c>
      <c r="I109" s="33" t="str">
        <f>IF(ISNUMBER(tblTx[[#This Row],[Date]]),INT((DAY(tblTx[[#This Row],[Date]])-1)/7)+1,"")</f>
        <v/>
      </c>
      <c r="J109" s="34" t="str">
        <f>IF(ISNUMBER(tblTx[[#This Row],[Amount]]),IF(tblTx[[#This Row],[Type]]="Income",tblTx[[#This Row],[Amount]],IF(tblTx[[#This Row],[Type]]="Expense",-tblTx[[#This Row],[Amount]],0)),"")</f>
        <v/>
      </c>
      <c r="K109" s="35" t="str">
        <f>IF(AND(tblTx[[#This Row],[Type]]="Expense",ISNUMBER(tblTx[[#This Row],[Amount]]),ISNUMBER(tblTx[[#This Row],[Date]])),IF(AND(tblTx[[#This Row],[Date]]&gt;=StartDate,tblTx[[#This Row],[Date]]&lt;=EndDate),tblTx[[#This Row],[Amount]]-ROW()/10^7,""),"")</f>
        <v/>
      </c>
    </row>
    <row r="110">
      <c r="A110" s="32" t="n"/>
      <c r="B110" s="26" t="n"/>
      <c r="C110" s="24" t="n"/>
      <c r="D110" s="24" t="n"/>
      <c r="E110" s="25" t="n"/>
      <c r="F110" s="24" t="n"/>
      <c r="G110" s="24" t="n"/>
      <c r="H110" s="33" t="str">
        <f>IF(ISNUMBER(tblTx[[#This Row],[Date]]),DAY(tblTx[[#This Row],[Date]]),"")</f>
        <v/>
      </c>
      <c r="I110" s="33" t="str">
        <f>IF(ISNUMBER(tblTx[[#This Row],[Date]]),INT((DAY(tblTx[[#This Row],[Date]])-1)/7)+1,"")</f>
        <v/>
      </c>
      <c r="J110" s="34" t="str">
        <f>IF(ISNUMBER(tblTx[[#This Row],[Amount]]),IF(tblTx[[#This Row],[Type]]="Income",tblTx[[#This Row],[Amount]],IF(tblTx[[#This Row],[Type]]="Expense",-tblTx[[#This Row],[Amount]],0)),"")</f>
        <v/>
      </c>
      <c r="K110" s="35" t="str">
        <f>IF(AND(tblTx[[#This Row],[Type]]="Expense",ISNUMBER(tblTx[[#This Row],[Amount]]),ISNUMBER(tblTx[[#This Row],[Date]])),IF(AND(tblTx[[#This Row],[Date]]&gt;=StartDate,tblTx[[#This Row],[Date]]&lt;=EndDate),tblTx[[#This Row],[Amount]]-ROW()/10^7,""),"")</f>
        <v/>
      </c>
    </row>
    <row r="111">
      <c r="A111" s="32" t="n"/>
      <c r="B111" s="26" t="n"/>
      <c r="C111" s="24" t="n"/>
      <c r="D111" s="24" t="n"/>
      <c r="E111" s="25" t="n"/>
      <c r="F111" s="24" t="n"/>
      <c r="G111" s="24" t="n"/>
      <c r="H111" s="33" t="str">
        <f>IF(ISNUMBER(tblTx[[#This Row],[Date]]),DAY(tblTx[[#This Row],[Date]]),"")</f>
        <v/>
      </c>
      <c r="I111" s="33" t="str">
        <f>IF(ISNUMBER(tblTx[[#This Row],[Date]]),INT((DAY(tblTx[[#This Row],[Date]])-1)/7)+1,"")</f>
        <v/>
      </c>
      <c r="J111" s="34" t="str">
        <f>IF(ISNUMBER(tblTx[[#This Row],[Amount]]),IF(tblTx[[#This Row],[Type]]="Income",tblTx[[#This Row],[Amount]],IF(tblTx[[#This Row],[Type]]="Expense",-tblTx[[#This Row],[Amount]],0)),"")</f>
        <v/>
      </c>
      <c r="K111" s="35" t="str">
        <f>IF(AND(tblTx[[#This Row],[Type]]="Expense",ISNUMBER(tblTx[[#This Row],[Amount]]),ISNUMBER(tblTx[[#This Row],[Date]])),IF(AND(tblTx[[#This Row],[Date]]&gt;=StartDate,tblTx[[#This Row],[Date]]&lt;=EndDate),tblTx[[#This Row],[Amount]]-ROW()/10^7,""),"")</f>
        <v/>
      </c>
    </row>
    <row r="112">
      <c r="A112" s="32" t="n"/>
      <c r="B112" s="26" t="n"/>
      <c r="C112" s="24" t="n"/>
      <c r="D112" s="24" t="n"/>
      <c r="E112" s="25" t="n"/>
      <c r="F112" s="24" t="n"/>
      <c r="G112" s="24" t="n"/>
      <c r="H112" s="33" t="str">
        <f>IF(ISNUMBER(tblTx[[#This Row],[Date]]),DAY(tblTx[[#This Row],[Date]]),"")</f>
        <v/>
      </c>
      <c r="I112" s="33" t="str">
        <f>IF(ISNUMBER(tblTx[[#This Row],[Date]]),INT((DAY(tblTx[[#This Row],[Date]])-1)/7)+1,"")</f>
        <v/>
      </c>
      <c r="J112" s="34" t="str">
        <f>IF(ISNUMBER(tblTx[[#This Row],[Amount]]),IF(tblTx[[#This Row],[Type]]="Income",tblTx[[#This Row],[Amount]],IF(tblTx[[#This Row],[Type]]="Expense",-tblTx[[#This Row],[Amount]],0)),"")</f>
        <v/>
      </c>
      <c r="K112" s="35" t="str">
        <f>IF(AND(tblTx[[#This Row],[Type]]="Expense",ISNUMBER(tblTx[[#This Row],[Amount]]),ISNUMBER(tblTx[[#This Row],[Date]])),IF(AND(tblTx[[#This Row],[Date]]&gt;=StartDate,tblTx[[#This Row],[Date]]&lt;=EndDate),tblTx[[#This Row],[Amount]]-ROW()/10^7,""),"")</f>
        <v/>
      </c>
    </row>
    <row r="113">
      <c r="A113" s="32" t="n"/>
      <c r="B113" s="26" t="n"/>
      <c r="C113" s="24" t="n"/>
      <c r="D113" s="24" t="n"/>
      <c r="E113" s="25" t="n"/>
      <c r="F113" s="24" t="n"/>
      <c r="G113" s="24" t="n"/>
      <c r="H113" s="33" t="str">
        <f>IF(ISNUMBER(tblTx[[#This Row],[Date]]),DAY(tblTx[[#This Row],[Date]]),"")</f>
        <v/>
      </c>
      <c r="I113" s="33" t="str">
        <f>IF(ISNUMBER(tblTx[[#This Row],[Date]]),INT((DAY(tblTx[[#This Row],[Date]])-1)/7)+1,"")</f>
        <v/>
      </c>
      <c r="J113" s="34" t="str">
        <f>IF(ISNUMBER(tblTx[[#This Row],[Amount]]),IF(tblTx[[#This Row],[Type]]="Income",tblTx[[#This Row],[Amount]],IF(tblTx[[#This Row],[Type]]="Expense",-tblTx[[#This Row],[Amount]],0)),"")</f>
        <v/>
      </c>
      <c r="K113" s="35" t="str">
        <f>IF(AND(tblTx[[#This Row],[Type]]="Expense",ISNUMBER(tblTx[[#This Row],[Amount]]),ISNUMBER(tblTx[[#This Row],[Date]])),IF(AND(tblTx[[#This Row],[Date]]&gt;=StartDate,tblTx[[#This Row],[Date]]&lt;=EndDate),tblTx[[#This Row],[Amount]]-ROW()/10^7,""),"")</f>
        <v/>
      </c>
    </row>
    <row r="114">
      <c r="A114" s="32" t="n"/>
      <c r="B114" s="26" t="n"/>
      <c r="C114" s="24" t="n"/>
      <c r="D114" s="24" t="n"/>
      <c r="E114" s="25" t="n"/>
      <c r="F114" s="24" t="n"/>
      <c r="G114" s="24" t="n"/>
      <c r="H114" s="33" t="str">
        <f>IF(ISNUMBER(tblTx[[#This Row],[Date]]),DAY(tblTx[[#This Row],[Date]]),"")</f>
        <v/>
      </c>
      <c r="I114" s="33" t="str">
        <f>IF(ISNUMBER(tblTx[[#This Row],[Date]]),INT((DAY(tblTx[[#This Row],[Date]])-1)/7)+1,"")</f>
        <v/>
      </c>
      <c r="J114" s="34" t="str">
        <f>IF(ISNUMBER(tblTx[[#This Row],[Amount]]),IF(tblTx[[#This Row],[Type]]="Income",tblTx[[#This Row],[Amount]],IF(tblTx[[#This Row],[Type]]="Expense",-tblTx[[#This Row],[Amount]],0)),"")</f>
        <v/>
      </c>
      <c r="K114" s="35" t="str">
        <f>IF(AND(tblTx[[#This Row],[Type]]="Expense",ISNUMBER(tblTx[[#This Row],[Amount]]),ISNUMBER(tblTx[[#This Row],[Date]])),IF(AND(tblTx[[#This Row],[Date]]&gt;=StartDate,tblTx[[#This Row],[Date]]&lt;=EndDate),tblTx[[#This Row],[Amount]]-ROW()/10^7,""),"")</f>
        <v/>
      </c>
    </row>
    <row r="115">
      <c r="A115" s="32" t="n"/>
      <c r="B115" s="26" t="n"/>
      <c r="C115" s="24" t="n"/>
      <c r="D115" s="24" t="n"/>
      <c r="E115" s="25" t="n"/>
      <c r="F115" s="24" t="n"/>
      <c r="G115" s="24" t="n"/>
      <c r="H115" s="33" t="str">
        <f>IF(ISNUMBER(tblTx[[#This Row],[Date]]),DAY(tblTx[[#This Row],[Date]]),"")</f>
        <v/>
      </c>
      <c r="I115" s="33" t="str">
        <f>IF(ISNUMBER(tblTx[[#This Row],[Date]]),INT((DAY(tblTx[[#This Row],[Date]])-1)/7)+1,"")</f>
        <v/>
      </c>
      <c r="J115" s="34" t="str">
        <f>IF(ISNUMBER(tblTx[[#This Row],[Amount]]),IF(tblTx[[#This Row],[Type]]="Income",tblTx[[#This Row],[Amount]],IF(tblTx[[#This Row],[Type]]="Expense",-tblTx[[#This Row],[Amount]],0)),"")</f>
        <v/>
      </c>
      <c r="K115" s="35" t="str">
        <f>IF(AND(tblTx[[#This Row],[Type]]="Expense",ISNUMBER(tblTx[[#This Row],[Amount]]),ISNUMBER(tblTx[[#This Row],[Date]])),IF(AND(tblTx[[#This Row],[Date]]&gt;=StartDate,tblTx[[#This Row],[Date]]&lt;=EndDate),tblTx[[#This Row],[Amount]]-ROW()/10^7,""),"")</f>
        <v/>
      </c>
    </row>
    <row r="116">
      <c r="A116" s="32" t="n"/>
      <c r="B116" s="26" t="n"/>
      <c r="C116" s="24" t="n"/>
      <c r="D116" s="24" t="n"/>
      <c r="E116" s="25" t="n"/>
      <c r="F116" s="24" t="n"/>
      <c r="G116" s="24" t="n"/>
      <c r="H116" s="33" t="str">
        <f>IF(ISNUMBER(tblTx[[#This Row],[Date]]),DAY(tblTx[[#This Row],[Date]]),"")</f>
        <v/>
      </c>
      <c r="I116" s="33" t="str">
        <f>IF(ISNUMBER(tblTx[[#This Row],[Date]]),INT((DAY(tblTx[[#This Row],[Date]])-1)/7)+1,"")</f>
        <v/>
      </c>
      <c r="J116" s="34" t="str">
        <f>IF(ISNUMBER(tblTx[[#This Row],[Amount]]),IF(tblTx[[#This Row],[Type]]="Income",tblTx[[#This Row],[Amount]],IF(tblTx[[#This Row],[Type]]="Expense",-tblTx[[#This Row],[Amount]],0)),"")</f>
        <v/>
      </c>
      <c r="K116" s="35" t="str">
        <f>IF(AND(tblTx[[#This Row],[Type]]="Expense",ISNUMBER(tblTx[[#This Row],[Amount]]),ISNUMBER(tblTx[[#This Row],[Date]])),IF(AND(tblTx[[#This Row],[Date]]&gt;=StartDate,tblTx[[#This Row],[Date]]&lt;=EndDate),tblTx[[#This Row],[Amount]]-ROW()/10^7,""),"")</f>
        <v/>
      </c>
    </row>
    <row r="117">
      <c r="A117" s="32" t="n"/>
      <c r="B117" s="26" t="n"/>
      <c r="C117" s="24" t="n"/>
      <c r="D117" s="24" t="n"/>
      <c r="E117" s="25" t="n"/>
      <c r="F117" s="24" t="n"/>
      <c r="G117" s="24" t="n"/>
      <c r="H117" s="33" t="str">
        <f>IF(ISNUMBER(tblTx[[#This Row],[Date]]),DAY(tblTx[[#This Row],[Date]]),"")</f>
        <v/>
      </c>
      <c r="I117" s="33" t="str">
        <f>IF(ISNUMBER(tblTx[[#This Row],[Date]]),INT((DAY(tblTx[[#This Row],[Date]])-1)/7)+1,"")</f>
        <v/>
      </c>
      <c r="J117" s="34" t="str">
        <f>IF(ISNUMBER(tblTx[[#This Row],[Amount]]),IF(tblTx[[#This Row],[Type]]="Income",tblTx[[#This Row],[Amount]],IF(tblTx[[#This Row],[Type]]="Expense",-tblTx[[#This Row],[Amount]],0)),"")</f>
        <v/>
      </c>
      <c r="K117" s="35" t="str">
        <f>IF(AND(tblTx[[#This Row],[Type]]="Expense",ISNUMBER(tblTx[[#This Row],[Amount]]),ISNUMBER(tblTx[[#This Row],[Date]])),IF(AND(tblTx[[#This Row],[Date]]&gt;=StartDate,tblTx[[#This Row],[Date]]&lt;=EndDate),tblTx[[#This Row],[Amount]]-ROW()/10^7,""),"")</f>
        <v/>
      </c>
    </row>
    <row r="118">
      <c r="A118" s="32" t="n"/>
      <c r="B118" s="26" t="n"/>
      <c r="C118" s="24" t="n"/>
      <c r="D118" s="24" t="n"/>
      <c r="E118" s="25" t="n"/>
      <c r="F118" s="24" t="n"/>
      <c r="G118" s="24" t="n"/>
      <c r="H118" s="33" t="str">
        <f>IF(ISNUMBER(tblTx[[#This Row],[Date]]),DAY(tblTx[[#This Row],[Date]]),"")</f>
        <v/>
      </c>
      <c r="I118" s="33" t="str">
        <f>IF(ISNUMBER(tblTx[[#This Row],[Date]]),INT((DAY(tblTx[[#This Row],[Date]])-1)/7)+1,"")</f>
        <v/>
      </c>
      <c r="J118" s="34" t="str">
        <f>IF(ISNUMBER(tblTx[[#This Row],[Amount]]),IF(tblTx[[#This Row],[Type]]="Income",tblTx[[#This Row],[Amount]],IF(tblTx[[#This Row],[Type]]="Expense",-tblTx[[#This Row],[Amount]],0)),"")</f>
        <v/>
      </c>
      <c r="K118" s="35" t="str">
        <f>IF(AND(tblTx[[#This Row],[Type]]="Expense",ISNUMBER(tblTx[[#This Row],[Amount]]),ISNUMBER(tblTx[[#This Row],[Date]])),IF(AND(tblTx[[#This Row],[Date]]&gt;=StartDate,tblTx[[#This Row],[Date]]&lt;=EndDate),tblTx[[#This Row],[Amount]]-ROW()/10^7,""),"")</f>
        <v/>
      </c>
    </row>
    <row r="119">
      <c r="A119" s="32" t="n"/>
      <c r="B119" s="26" t="n"/>
      <c r="C119" s="24" t="n"/>
      <c r="D119" s="24" t="n"/>
      <c r="E119" s="25" t="n"/>
      <c r="F119" s="24" t="n"/>
      <c r="G119" s="24" t="n"/>
      <c r="H119" s="33" t="str">
        <f>IF(ISNUMBER(tblTx[[#This Row],[Date]]),DAY(tblTx[[#This Row],[Date]]),"")</f>
        <v/>
      </c>
      <c r="I119" s="33" t="str">
        <f>IF(ISNUMBER(tblTx[[#This Row],[Date]]),INT((DAY(tblTx[[#This Row],[Date]])-1)/7)+1,"")</f>
        <v/>
      </c>
      <c r="J119" s="34" t="str">
        <f>IF(ISNUMBER(tblTx[[#This Row],[Amount]]),IF(tblTx[[#This Row],[Type]]="Income",tblTx[[#This Row],[Amount]],IF(tblTx[[#This Row],[Type]]="Expense",-tblTx[[#This Row],[Amount]],0)),"")</f>
        <v/>
      </c>
      <c r="K119" s="35" t="str">
        <f>IF(AND(tblTx[[#This Row],[Type]]="Expense",ISNUMBER(tblTx[[#This Row],[Amount]]),ISNUMBER(tblTx[[#This Row],[Date]])),IF(AND(tblTx[[#This Row],[Date]]&gt;=StartDate,tblTx[[#This Row],[Date]]&lt;=EndDate),tblTx[[#This Row],[Amount]]-ROW()/10^7,""),"")</f>
        <v/>
      </c>
    </row>
    <row r="120">
      <c r="A120" s="32" t="n"/>
      <c r="B120" s="26" t="n"/>
      <c r="C120" s="24" t="n"/>
      <c r="D120" s="24" t="n"/>
      <c r="E120" s="25" t="n"/>
      <c r="F120" s="24" t="n"/>
      <c r="G120" s="24" t="n"/>
      <c r="H120" s="33" t="str">
        <f>IF(ISNUMBER(tblTx[[#This Row],[Date]]),DAY(tblTx[[#This Row],[Date]]),"")</f>
        <v/>
      </c>
      <c r="I120" s="33" t="str">
        <f>IF(ISNUMBER(tblTx[[#This Row],[Date]]),INT((DAY(tblTx[[#This Row],[Date]])-1)/7)+1,"")</f>
        <v/>
      </c>
      <c r="J120" s="34" t="str">
        <f>IF(ISNUMBER(tblTx[[#This Row],[Amount]]),IF(tblTx[[#This Row],[Type]]="Income",tblTx[[#This Row],[Amount]],IF(tblTx[[#This Row],[Type]]="Expense",-tblTx[[#This Row],[Amount]],0)),"")</f>
        <v/>
      </c>
      <c r="K120" s="35" t="str">
        <f>IF(AND(tblTx[[#This Row],[Type]]="Expense",ISNUMBER(tblTx[[#This Row],[Amount]]),ISNUMBER(tblTx[[#This Row],[Date]])),IF(AND(tblTx[[#This Row],[Date]]&gt;=StartDate,tblTx[[#This Row],[Date]]&lt;=EndDate),tblTx[[#This Row],[Amount]]-ROW()/10^7,""),"")</f>
        <v/>
      </c>
    </row>
    <row r="121">
      <c r="A121" s="32" t="n"/>
      <c r="B121" s="26" t="n"/>
      <c r="C121" s="24" t="n"/>
      <c r="D121" s="24" t="n"/>
      <c r="E121" s="25" t="n"/>
      <c r="F121" s="24" t="n"/>
      <c r="G121" s="24" t="n"/>
      <c r="H121" s="33" t="str">
        <f>IF(ISNUMBER(tblTx[[#This Row],[Date]]),DAY(tblTx[[#This Row],[Date]]),"")</f>
        <v/>
      </c>
      <c r="I121" s="33" t="str">
        <f>IF(ISNUMBER(tblTx[[#This Row],[Date]]),INT((DAY(tblTx[[#This Row],[Date]])-1)/7)+1,"")</f>
        <v/>
      </c>
      <c r="J121" s="34" t="str">
        <f>IF(ISNUMBER(tblTx[[#This Row],[Amount]]),IF(tblTx[[#This Row],[Type]]="Income",tblTx[[#This Row],[Amount]],IF(tblTx[[#This Row],[Type]]="Expense",-tblTx[[#This Row],[Amount]],0)),"")</f>
        <v/>
      </c>
      <c r="K121" s="35" t="str">
        <f>IF(AND(tblTx[[#This Row],[Type]]="Expense",ISNUMBER(tblTx[[#This Row],[Amount]]),ISNUMBER(tblTx[[#This Row],[Date]])),IF(AND(tblTx[[#This Row],[Date]]&gt;=StartDate,tblTx[[#This Row],[Date]]&lt;=EndDate),tblTx[[#This Row],[Amount]]-ROW()/10^7,""),"")</f>
        <v/>
      </c>
    </row>
    <row r="122">
      <c r="A122" s="32" t="n"/>
      <c r="B122" s="26" t="n"/>
      <c r="C122" s="24" t="n"/>
      <c r="D122" s="24" t="n"/>
      <c r="E122" s="25" t="n"/>
      <c r="F122" s="24" t="n"/>
      <c r="G122" s="24" t="n"/>
      <c r="H122" s="33" t="str">
        <f>IF(ISNUMBER(tblTx[[#This Row],[Date]]),DAY(tblTx[[#This Row],[Date]]),"")</f>
        <v/>
      </c>
      <c r="I122" s="33" t="str">
        <f>IF(ISNUMBER(tblTx[[#This Row],[Date]]),INT((DAY(tblTx[[#This Row],[Date]])-1)/7)+1,"")</f>
        <v/>
      </c>
      <c r="J122" s="34" t="str">
        <f>IF(ISNUMBER(tblTx[[#This Row],[Amount]]),IF(tblTx[[#This Row],[Type]]="Income",tblTx[[#This Row],[Amount]],IF(tblTx[[#This Row],[Type]]="Expense",-tblTx[[#This Row],[Amount]],0)),"")</f>
        <v/>
      </c>
      <c r="K122" s="35" t="str">
        <f>IF(AND(tblTx[[#This Row],[Type]]="Expense",ISNUMBER(tblTx[[#This Row],[Amount]]),ISNUMBER(tblTx[[#This Row],[Date]])),IF(AND(tblTx[[#This Row],[Date]]&gt;=StartDate,tblTx[[#This Row],[Date]]&lt;=EndDate),tblTx[[#This Row],[Amount]]-ROW()/10^7,""),"")</f>
        <v/>
      </c>
    </row>
    <row r="123">
      <c r="A123" s="32" t="n"/>
      <c r="B123" s="26" t="n"/>
      <c r="C123" s="24" t="n"/>
      <c r="D123" s="24" t="n"/>
      <c r="E123" s="25" t="n"/>
      <c r="F123" s="24" t="n"/>
      <c r="G123" s="24" t="n"/>
      <c r="H123" s="33" t="str">
        <f>IF(ISNUMBER(tblTx[[#This Row],[Date]]),DAY(tblTx[[#This Row],[Date]]),"")</f>
        <v/>
      </c>
      <c r="I123" s="33" t="str">
        <f>IF(ISNUMBER(tblTx[[#This Row],[Date]]),INT((DAY(tblTx[[#This Row],[Date]])-1)/7)+1,"")</f>
        <v/>
      </c>
      <c r="J123" s="34" t="str">
        <f>IF(ISNUMBER(tblTx[[#This Row],[Amount]]),IF(tblTx[[#This Row],[Type]]="Income",tblTx[[#This Row],[Amount]],IF(tblTx[[#This Row],[Type]]="Expense",-tblTx[[#This Row],[Amount]],0)),"")</f>
        <v/>
      </c>
      <c r="K123" s="35" t="str">
        <f>IF(AND(tblTx[[#This Row],[Type]]="Expense",ISNUMBER(tblTx[[#This Row],[Amount]]),ISNUMBER(tblTx[[#This Row],[Date]])),IF(AND(tblTx[[#This Row],[Date]]&gt;=StartDate,tblTx[[#This Row],[Date]]&lt;=EndDate),tblTx[[#This Row],[Amount]]-ROW()/10^7,""),"")</f>
        <v/>
      </c>
    </row>
    <row r="124">
      <c r="A124" s="32" t="n"/>
      <c r="B124" s="26" t="n"/>
      <c r="C124" s="24" t="n"/>
      <c r="D124" s="24" t="n"/>
      <c r="E124" s="25" t="n"/>
      <c r="F124" s="24" t="n"/>
      <c r="G124" s="24" t="n"/>
      <c r="H124" s="33" t="str">
        <f>IF(ISNUMBER(tblTx[[#This Row],[Date]]),DAY(tblTx[[#This Row],[Date]]),"")</f>
        <v/>
      </c>
      <c r="I124" s="33" t="str">
        <f>IF(ISNUMBER(tblTx[[#This Row],[Date]]),INT((DAY(tblTx[[#This Row],[Date]])-1)/7)+1,"")</f>
        <v/>
      </c>
      <c r="J124" s="34" t="str">
        <f>IF(ISNUMBER(tblTx[[#This Row],[Amount]]),IF(tblTx[[#This Row],[Type]]="Income",tblTx[[#This Row],[Amount]],IF(tblTx[[#This Row],[Type]]="Expense",-tblTx[[#This Row],[Amount]],0)),"")</f>
        <v/>
      </c>
      <c r="K124" s="35" t="str">
        <f>IF(AND(tblTx[[#This Row],[Type]]="Expense",ISNUMBER(tblTx[[#This Row],[Amount]]),ISNUMBER(tblTx[[#This Row],[Date]])),IF(AND(tblTx[[#This Row],[Date]]&gt;=StartDate,tblTx[[#This Row],[Date]]&lt;=EndDate),tblTx[[#This Row],[Amount]]-ROW()/10^7,""),"")</f>
        <v/>
      </c>
    </row>
    <row r="125">
      <c r="A125" s="32" t="n"/>
      <c r="B125" s="26" t="n"/>
      <c r="C125" s="24" t="n"/>
      <c r="D125" s="24" t="n"/>
      <c r="E125" s="25" t="n"/>
      <c r="F125" s="24" t="n"/>
      <c r="G125" s="24" t="n"/>
      <c r="H125" s="33" t="str">
        <f>IF(ISNUMBER(tblTx[[#This Row],[Date]]),DAY(tblTx[[#This Row],[Date]]),"")</f>
        <v/>
      </c>
      <c r="I125" s="33" t="str">
        <f>IF(ISNUMBER(tblTx[[#This Row],[Date]]),INT((DAY(tblTx[[#This Row],[Date]])-1)/7)+1,"")</f>
        <v/>
      </c>
      <c r="J125" s="34" t="str">
        <f>IF(ISNUMBER(tblTx[[#This Row],[Amount]]),IF(tblTx[[#This Row],[Type]]="Income",tblTx[[#This Row],[Amount]],IF(tblTx[[#This Row],[Type]]="Expense",-tblTx[[#This Row],[Amount]],0)),"")</f>
        <v/>
      </c>
      <c r="K125" s="35" t="str">
        <f>IF(AND(tblTx[[#This Row],[Type]]="Expense",ISNUMBER(tblTx[[#This Row],[Amount]]),ISNUMBER(tblTx[[#This Row],[Date]])),IF(AND(tblTx[[#This Row],[Date]]&gt;=StartDate,tblTx[[#This Row],[Date]]&lt;=EndDate),tblTx[[#This Row],[Amount]]-ROW()/10^7,""),"")</f>
        <v/>
      </c>
    </row>
    <row r="126">
      <c r="A126" s="32" t="n"/>
      <c r="B126" s="26" t="n"/>
      <c r="C126" s="24" t="n"/>
      <c r="D126" s="24" t="n"/>
      <c r="E126" s="25" t="n"/>
      <c r="F126" s="24" t="n"/>
      <c r="G126" s="24" t="n"/>
      <c r="H126" s="33" t="str">
        <f>IF(ISNUMBER(tblTx[[#This Row],[Date]]),DAY(tblTx[[#This Row],[Date]]),"")</f>
        <v/>
      </c>
      <c r="I126" s="33" t="str">
        <f>IF(ISNUMBER(tblTx[[#This Row],[Date]]),INT((DAY(tblTx[[#This Row],[Date]])-1)/7)+1,"")</f>
        <v/>
      </c>
      <c r="J126" s="34" t="str">
        <f>IF(ISNUMBER(tblTx[[#This Row],[Amount]]),IF(tblTx[[#This Row],[Type]]="Income",tblTx[[#This Row],[Amount]],IF(tblTx[[#This Row],[Type]]="Expense",-tblTx[[#This Row],[Amount]],0)),"")</f>
        <v/>
      </c>
      <c r="K126" s="35" t="str">
        <f>IF(AND(tblTx[[#This Row],[Type]]="Expense",ISNUMBER(tblTx[[#This Row],[Amount]]),ISNUMBER(tblTx[[#This Row],[Date]])),IF(AND(tblTx[[#This Row],[Date]]&gt;=StartDate,tblTx[[#This Row],[Date]]&lt;=EndDate),tblTx[[#This Row],[Amount]]-ROW()/10^7,""),"")</f>
        <v/>
      </c>
    </row>
    <row r="127">
      <c r="A127" s="32" t="n"/>
      <c r="B127" s="26" t="n"/>
      <c r="C127" s="24" t="n"/>
      <c r="D127" s="24" t="n"/>
      <c r="E127" s="25" t="n"/>
      <c r="F127" s="24" t="n"/>
      <c r="G127" s="24" t="n"/>
      <c r="H127" s="33" t="str">
        <f>IF(ISNUMBER(tblTx[[#This Row],[Date]]),DAY(tblTx[[#This Row],[Date]]),"")</f>
        <v/>
      </c>
      <c r="I127" s="33" t="str">
        <f>IF(ISNUMBER(tblTx[[#This Row],[Date]]),INT((DAY(tblTx[[#This Row],[Date]])-1)/7)+1,"")</f>
        <v/>
      </c>
      <c r="J127" s="34" t="str">
        <f>IF(ISNUMBER(tblTx[[#This Row],[Amount]]),IF(tblTx[[#This Row],[Type]]="Income",tblTx[[#This Row],[Amount]],IF(tblTx[[#This Row],[Type]]="Expense",-tblTx[[#This Row],[Amount]],0)),"")</f>
        <v/>
      </c>
      <c r="K127" s="35" t="str">
        <f>IF(AND(tblTx[[#This Row],[Type]]="Expense",ISNUMBER(tblTx[[#This Row],[Amount]]),ISNUMBER(tblTx[[#This Row],[Date]])),IF(AND(tblTx[[#This Row],[Date]]&gt;=StartDate,tblTx[[#This Row],[Date]]&lt;=EndDate),tblTx[[#This Row],[Amount]]-ROW()/10^7,""),"")</f>
        <v/>
      </c>
    </row>
    <row r="128">
      <c r="A128" s="32" t="n"/>
      <c r="B128" s="26" t="n"/>
      <c r="C128" s="24" t="n"/>
      <c r="D128" s="24" t="n"/>
      <c r="E128" s="25" t="n"/>
      <c r="F128" s="24" t="n"/>
      <c r="G128" s="24" t="n"/>
      <c r="H128" s="33" t="str">
        <f>IF(ISNUMBER(tblTx[[#This Row],[Date]]),DAY(tblTx[[#This Row],[Date]]),"")</f>
        <v/>
      </c>
      <c r="I128" s="33" t="str">
        <f>IF(ISNUMBER(tblTx[[#This Row],[Date]]),INT((DAY(tblTx[[#This Row],[Date]])-1)/7)+1,"")</f>
        <v/>
      </c>
      <c r="J128" s="34" t="str">
        <f>IF(ISNUMBER(tblTx[[#This Row],[Amount]]),IF(tblTx[[#This Row],[Type]]="Income",tblTx[[#This Row],[Amount]],IF(tblTx[[#This Row],[Type]]="Expense",-tblTx[[#This Row],[Amount]],0)),"")</f>
        <v/>
      </c>
      <c r="K128" s="35" t="str">
        <f>IF(AND(tblTx[[#This Row],[Type]]="Expense",ISNUMBER(tblTx[[#This Row],[Amount]]),ISNUMBER(tblTx[[#This Row],[Date]])),IF(AND(tblTx[[#This Row],[Date]]&gt;=StartDate,tblTx[[#This Row],[Date]]&lt;=EndDate),tblTx[[#This Row],[Amount]]-ROW()/10^7,""),"")</f>
        <v/>
      </c>
    </row>
    <row r="129">
      <c r="A129" s="32" t="n"/>
      <c r="B129" s="26" t="n"/>
      <c r="C129" s="24" t="n"/>
      <c r="D129" s="24" t="n"/>
      <c r="E129" s="25" t="n"/>
      <c r="F129" s="24" t="n"/>
      <c r="G129" s="24" t="n"/>
      <c r="H129" s="33" t="str">
        <f>IF(ISNUMBER(tblTx[[#This Row],[Date]]),DAY(tblTx[[#This Row],[Date]]),"")</f>
        <v/>
      </c>
      <c r="I129" s="33" t="str">
        <f>IF(ISNUMBER(tblTx[[#This Row],[Date]]),INT((DAY(tblTx[[#This Row],[Date]])-1)/7)+1,"")</f>
        <v/>
      </c>
      <c r="J129" s="34" t="str">
        <f>IF(ISNUMBER(tblTx[[#This Row],[Amount]]),IF(tblTx[[#This Row],[Type]]="Income",tblTx[[#This Row],[Amount]],IF(tblTx[[#This Row],[Type]]="Expense",-tblTx[[#This Row],[Amount]],0)),"")</f>
        <v/>
      </c>
      <c r="K129" s="35" t="str">
        <f>IF(AND(tblTx[[#This Row],[Type]]="Expense",ISNUMBER(tblTx[[#This Row],[Amount]]),ISNUMBER(tblTx[[#This Row],[Date]])),IF(AND(tblTx[[#This Row],[Date]]&gt;=StartDate,tblTx[[#This Row],[Date]]&lt;=EndDate),tblTx[[#This Row],[Amount]]-ROW()/10^7,""),"")</f>
        <v/>
      </c>
    </row>
    <row r="130">
      <c r="A130" s="32" t="n"/>
      <c r="B130" s="26" t="n"/>
      <c r="C130" s="24" t="n"/>
      <c r="D130" s="24" t="n"/>
      <c r="E130" s="25" t="n"/>
      <c r="F130" s="24" t="n"/>
      <c r="G130" s="24" t="n"/>
      <c r="H130" s="33" t="str">
        <f>IF(ISNUMBER(tblTx[[#This Row],[Date]]),DAY(tblTx[[#This Row],[Date]]),"")</f>
        <v/>
      </c>
      <c r="I130" s="33" t="str">
        <f>IF(ISNUMBER(tblTx[[#This Row],[Date]]),INT((DAY(tblTx[[#This Row],[Date]])-1)/7)+1,"")</f>
        <v/>
      </c>
      <c r="J130" s="34" t="str">
        <f>IF(ISNUMBER(tblTx[[#This Row],[Amount]]),IF(tblTx[[#This Row],[Type]]="Income",tblTx[[#This Row],[Amount]],IF(tblTx[[#This Row],[Type]]="Expense",-tblTx[[#This Row],[Amount]],0)),"")</f>
        <v/>
      </c>
      <c r="K130" s="35" t="str">
        <f>IF(AND(tblTx[[#This Row],[Type]]="Expense",ISNUMBER(tblTx[[#This Row],[Amount]]),ISNUMBER(tblTx[[#This Row],[Date]])),IF(AND(tblTx[[#This Row],[Date]]&gt;=StartDate,tblTx[[#This Row],[Date]]&lt;=EndDate),tblTx[[#This Row],[Amount]]-ROW()/10^7,""),"")</f>
        <v/>
      </c>
    </row>
    <row r="131">
      <c r="A131" s="32" t="n"/>
      <c r="B131" s="26" t="n"/>
      <c r="C131" s="24" t="n"/>
      <c r="D131" s="24" t="n"/>
      <c r="E131" s="25" t="n"/>
      <c r="F131" s="24" t="n"/>
      <c r="G131" s="24" t="n"/>
      <c r="H131" s="33" t="str">
        <f>IF(ISNUMBER(tblTx[[#This Row],[Date]]),DAY(tblTx[[#This Row],[Date]]),"")</f>
        <v/>
      </c>
      <c r="I131" s="33" t="str">
        <f>IF(ISNUMBER(tblTx[[#This Row],[Date]]),INT((DAY(tblTx[[#This Row],[Date]])-1)/7)+1,"")</f>
        <v/>
      </c>
      <c r="J131" s="34" t="str">
        <f>IF(ISNUMBER(tblTx[[#This Row],[Amount]]),IF(tblTx[[#This Row],[Type]]="Income",tblTx[[#This Row],[Amount]],IF(tblTx[[#This Row],[Type]]="Expense",-tblTx[[#This Row],[Amount]],0)),"")</f>
        <v/>
      </c>
      <c r="K131" s="35" t="str">
        <f>IF(AND(tblTx[[#This Row],[Type]]="Expense",ISNUMBER(tblTx[[#This Row],[Amount]]),ISNUMBER(tblTx[[#This Row],[Date]])),IF(AND(tblTx[[#This Row],[Date]]&gt;=StartDate,tblTx[[#This Row],[Date]]&lt;=EndDate),tblTx[[#This Row],[Amount]]-ROW()/10^7,""),"")</f>
        <v/>
      </c>
    </row>
    <row r="132">
      <c r="A132" s="32" t="n"/>
      <c r="B132" s="26" t="n"/>
      <c r="C132" s="24" t="n"/>
      <c r="D132" s="24" t="n"/>
      <c r="E132" s="25" t="n"/>
      <c r="F132" s="24" t="n"/>
      <c r="G132" s="24" t="n"/>
      <c r="H132" s="33" t="str">
        <f>IF(ISNUMBER(tblTx[[#This Row],[Date]]),DAY(tblTx[[#This Row],[Date]]),"")</f>
        <v/>
      </c>
      <c r="I132" s="33" t="str">
        <f>IF(ISNUMBER(tblTx[[#This Row],[Date]]),INT((DAY(tblTx[[#This Row],[Date]])-1)/7)+1,"")</f>
        <v/>
      </c>
      <c r="J132" s="34" t="str">
        <f>IF(ISNUMBER(tblTx[[#This Row],[Amount]]),IF(tblTx[[#This Row],[Type]]="Income",tblTx[[#This Row],[Amount]],IF(tblTx[[#This Row],[Type]]="Expense",-tblTx[[#This Row],[Amount]],0)),"")</f>
        <v/>
      </c>
      <c r="K132" s="35" t="str">
        <f>IF(AND(tblTx[[#This Row],[Type]]="Expense",ISNUMBER(tblTx[[#This Row],[Amount]]),ISNUMBER(tblTx[[#This Row],[Date]])),IF(AND(tblTx[[#This Row],[Date]]&gt;=StartDate,tblTx[[#This Row],[Date]]&lt;=EndDate),tblTx[[#This Row],[Amount]]-ROW()/10^7,""),"")</f>
        <v/>
      </c>
    </row>
    <row r="133">
      <c r="A133" s="32" t="n"/>
      <c r="B133" s="26" t="n"/>
      <c r="C133" s="24" t="n"/>
      <c r="D133" s="24" t="n"/>
      <c r="E133" s="25" t="n"/>
      <c r="F133" s="24" t="n"/>
      <c r="G133" s="24" t="n"/>
      <c r="H133" s="33" t="str">
        <f>IF(ISNUMBER(tblTx[[#This Row],[Date]]),DAY(tblTx[[#This Row],[Date]]),"")</f>
        <v/>
      </c>
      <c r="I133" s="33" t="str">
        <f>IF(ISNUMBER(tblTx[[#This Row],[Date]]),INT((DAY(tblTx[[#This Row],[Date]])-1)/7)+1,"")</f>
        <v/>
      </c>
      <c r="J133" s="34" t="str">
        <f>IF(ISNUMBER(tblTx[[#This Row],[Amount]]),IF(tblTx[[#This Row],[Type]]="Income",tblTx[[#This Row],[Amount]],IF(tblTx[[#This Row],[Type]]="Expense",-tblTx[[#This Row],[Amount]],0)),"")</f>
        <v/>
      </c>
      <c r="K133" s="35" t="str">
        <f>IF(AND(tblTx[[#This Row],[Type]]="Expense",ISNUMBER(tblTx[[#This Row],[Amount]]),ISNUMBER(tblTx[[#This Row],[Date]])),IF(AND(tblTx[[#This Row],[Date]]&gt;=StartDate,tblTx[[#This Row],[Date]]&lt;=EndDate),tblTx[[#This Row],[Amount]]-ROW()/10^7,""),"")</f>
        <v/>
      </c>
    </row>
    <row r="134">
      <c r="A134" s="32" t="n"/>
      <c r="B134" s="26" t="n"/>
      <c r="C134" s="24" t="n"/>
      <c r="D134" s="24" t="n"/>
      <c r="E134" s="25" t="n"/>
      <c r="F134" s="24" t="n"/>
      <c r="G134" s="24" t="n"/>
      <c r="H134" s="33" t="str">
        <f>IF(ISNUMBER(tblTx[[#This Row],[Date]]),DAY(tblTx[[#This Row],[Date]]),"")</f>
        <v/>
      </c>
      <c r="I134" s="33" t="str">
        <f>IF(ISNUMBER(tblTx[[#This Row],[Date]]),INT((DAY(tblTx[[#This Row],[Date]])-1)/7)+1,"")</f>
        <v/>
      </c>
      <c r="J134" s="34" t="str">
        <f>IF(ISNUMBER(tblTx[[#This Row],[Amount]]),IF(tblTx[[#This Row],[Type]]="Income",tblTx[[#This Row],[Amount]],IF(tblTx[[#This Row],[Type]]="Expense",-tblTx[[#This Row],[Amount]],0)),"")</f>
        <v/>
      </c>
      <c r="K134" s="35" t="str">
        <f>IF(AND(tblTx[[#This Row],[Type]]="Expense",ISNUMBER(tblTx[[#This Row],[Amount]]),ISNUMBER(tblTx[[#This Row],[Date]])),IF(AND(tblTx[[#This Row],[Date]]&gt;=StartDate,tblTx[[#This Row],[Date]]&lt;=EndDate),tblTx[[#This Row],[Amount]]-ROW()/10^7,""),"")</f>
        <v/>
      </c>
    </row>
    <row r="135">
      <c r="A135" s="32" t="n"/>
      <c r="B135" s="26" t="n"/>
      <c r="C135" s="24" t="n"/>
      <c r="D135" s="24" t="n"/>
      <c r="E135" s="25" t="n"/>
      <c r="F135" s="24" t="n"/>
      <c r="G135" s="24" t="n"/>
      <c r="H135" s="33" t="str">
        <f>IF(ISNUMBER(tblTx[[#This Row],[Date]]),DAY(tblTx[[#This Row],[Date]]),"")</f>
        <v/>
      </c>
      <c r="I135" s="33" t="str">
        <f>IF(ISNUMBER(tblTx[[#This Row],[Date]]),INT((DAY(tblTx[[#This Row],[Date]])-1)/7)+1,"")</f>
        <v/>
      </c>
      <c r="J135" s="34" t="str">
        <f>IF(ISNUMBER(tblTx[[#This Row],[Amount]]),IF(tblTx[[#This Row],[Type]]="Income",tblTx[[#This Row],[Amount]],IF(tblTx[[#This Row],[Type]]="Expense",-tblTx[[#This Row],[Amount]],0)),"")</f>
        <v/>
      </c>
      <c r="K135" s="35" t="str">
        <f>IF(AND(tblTx[[#This Row],[Type]]="Expense",ISNUMBER(tblTx[[#This Row],[Amount]]),ISNUMBER(tblTx[[#This Row],[Date]])),IF(AND(tblTx[[#This Row],[Date]]&gt;=StartDate,tblTx[[#This Row],[Date]]&lt;=EndDate),tblTx[[#This Row],[Amount]]-ROW()/10^7,""),"")</f>
        <v/>
      </c>
    </row>
    <row r="136">
      <c r="A136" s="32" t="n"/>
      <c r="B136" s="26" t="n"/>
      <c r="C136" s="24" t="n"/>
      <c r="D136" s="24" t="n"/>
      <c r="E136" s="25" t="n"/>
      <c r="F136" s="24" t="n"/>
      <c r="G136" s="24" t="n"/>
      <c r="H136" s="33" t="str">
        <f>IF(ISNUMBER(tblTx[[#This Row],[Date]]),DAY(tblTx[[#This Row],[Date]]),"")</f>
        <v/>
      </c>
      <c r="I136" s="33" t="str">
        <f>IF(ISNUMBER(tblTx[[#This Row],[Date]]),INT((DAY(tblTx[[#This Row],[Date]])-1)/7)+1,"")</f>
        <v/>
      </c>
      <c r="J136" s="34" t="str">
        <f>IF(ISNUMBER(tblTx[[#This Row],[Amount]]),IF(tblTx[[#This Row],[Type]]="Income",tblTx[[#This Row],[Amount]],IF(tblTx[[#This Row],[Type]]="Expense",-tblTx[[#This Row],[Amount]],0)),"")</f>
        <v/>
      </c>
      <c r="K136" s="35" t="str">
        <f>IF(AND(tblTx[[#This Row],[Type]]="Expense",ISNUMBER(tblTx[[#This Row],[Amount]]),ISNUMBER(tblTx[[#This Row],[Date]])),IF(AND(tblTx[[#This Row],[Date]]&gt;=StartDate,tblTx[[#This Row],[Date]]&lt;=EndDate),tblTx[[#This Row],[Amount]]-ROW()/10^7,""),"")</f>
        <v/>
      </c>
    </row>
    <row r="137">
      <c r="A137" s="32" t="n"/>
      <c r="B137" s="26" t="n"/>
      <c r="C137" s="24" t="n"/>
      <c r="D137" s="24" t="n"/>
      <c r="E137" s="25" t="n"/>
      <c r="F137" s="24" t="n"/>
      <c r="G137" s="24" t="n"/>
      <c r="H137" s="33" t="str">
        <f>IF(ISNUMBER(tblTx[[#This Row],[Date]]),DAY(tblTx[[#This Row],[Date]]),"")</f>
        <v/>
      </c>
      <c r="I137" s="33" t="str">
        <f>IF(ISNUMBER(tblTx[[#This Row],[Date]]),INT((DAY(tblTx[[#This Row],[Date]])-1)/7)+1,"")</f>
        <v/>
      </c>
      <c r="J137" s="34" t="str">
        <f>IF(ISNUMBER(tblTx[[#This Row],[Amount]]),IF(tblTx[[#This Row],[Type]]="Income",tblTx[[#This Row],[Amount]],IF(tblTx[[#This Row],[Type]]="Expense",-tblTx[[#This Row],[Amount]],0)),"")</f>
        <v/>
      </c>
      <c r="K137" s="35" t="str">
        <f>IF(AND(tblTx[[#This Row],[Type]]="Expense",ISNUMBER(tblTx[[#This Row],[Amount]]),ISNUMBER(tblTx[[#This Row],[Date]])),IF(AND(tblTx[[#This Row],[Date]]&gt;=StartDate,tblTx[[#This Row],[Date]]&lt;=EndDate),tblTx[[#This Row],[Amount]]-ROW()/10^7,""),"")</f>
        <v/>
      </c>
    </row>
    <row r="138">
      <c r="A138" s="32" t="n"/>
      <c r="B138" s="26" t="n"/>
      <c r="C138" s="24" t="n"/>
      <c r="D138" s="24" t="n"/>
      <c r="E138" s="25" t="n"/>
      <c r="F138" s="24" t="n"/>
      <c r="G138" s="24" t="n"/>
      <c r="H138" s="33" t="str">
        <f>IF(ISNUMBER(tblTx[[#This Row],[Date]]),DAY(tblTx[[#This Row],[Date]]),"")</f>
        <v/>
      </c>
      <c r="I138" s="33" t="str">
        <f>IF(ISNUMBER(tblTx[[#This Row],[Date]]),INT((DAY(tblTx[[#This Row],[Date]])-1)/7)+1,"")</f>
        <v/>
      </c>
      <c r="J138" s="34" t="str">
        <f>IF(ISNUMBER(tblTx[[#This Row],[Amount]]),IF(tblTx[[#This Row],[Type]]="Income",tblTx[[#This Row],[Amount]],IF(tblTx[[#This Row],[Type]]="Expense",-tblTx[[#This Row],[Amount]],0)),"")</f>
        <v/>
      </c>
      <c r="K138" s="35" t="str">
        <f>IF(AND(tblTx[[#This Row],[Type]]="Expense",ISNUMBER(tblTx[[#This Row],[Amount]]),ISNUMBER(tblTx[[#This Row],[Date]])),IF(AND(tblTx[[#This Row],[Date]]&gt;=StartDate,tblTx[[#This Row],[Date]]&lt;=EndDate),tblTx[[#This Row],[Amount]]-ROW()/10^7,""),"")</f>
        <v/>
      </c>
    </row>
    <row r="139">
      <c r="A139" s="32" t="n"/>
      <c r="B139" s="26" t="n"/>
      <c r="C139" s="24" t="n"/>
      <c r="D139" s="24" t="n"/>
      <c r="E139" s="25" t="n"/>
      <c r="F139" s="24" t="n"/>
      <c r="G139" s="24" t="n"/>
      <c r="H139" s="33" t="str">
        <f>IF(ISNUMBER(tblTx[[#This Row],[Date]]),DAY(tblTx[[#This Row],[Date]]),"")</f>
        <v/>
      </c>
      <c r="I139" s="33" t="str">
        <f>IF(ISNUMBER(tblTx[[#This Row],[Date]]),INT((DAY(tblTx[[#This Row],[Date]])-1)/7)+1,"")</f>
        <v/>
      </c>
      <c r="J139" s="34" t="str">
        <f>IF(ISNUMBER(tblTx[[#This Row],[Amount]]),IF(tblTx[[#This Row],[Type]]="Income",tblTx[[#This Row],[Amount]],IF(tblTx[[#This Row],[Type]]="Expense",-tblTx[[#This Row],[Amount]],0)),"")</f>
        <v/>
      </c>
      <c r="K139" s="35" t="str">
        <f>IF(AND(tblTx[[#This Row],[Type]]="Expense",ISNUMBER(tblTx[[#This Row],[Amount]]),ISNUMBER(tblTx[[#This Row],[Date]])),IF(AND(tblTx[[#This Row],[Date]]&gt;=StartDate,tblTx[[#This Row],[Date]]&lt;=EndDate),tblTx[[#This Row],[Amount]]-ROW()/10^7,""),"")</f>
        <v/>
      </c>
    </row>
    <row r="140">
      <c r="A140" s="32" t="n"/>
      <c r="B140" s="26" t="n"/>
      <c r="C140" s="24" t="n"/>
      <c r="D140" s="24" t="n"/>
      <c r="E140" s="25" t="n"/>
      <c r="F140" s="24" t="n"/>
      <c r="G140" s="24" t="n"/>
      <c r="H140" s="33" t="str">
        <f>IF(ISNUMBER(tblTx[[#This Row],[Date]]),DAY(tblTx[[#This Row],[Date]]),"")</f>
        <v/>
      </c>
      <c r="I140" s="33" t="str">
        <f>IF(ISNUMBER(tblTx[[#This Row],[Date]]),INT((DAY(tblTx[[#This Row],[Date]])-1)/7)+1,"")</f>
        <v/>
      </c>
      <c r="J140" s="34" t="str">
        <f>IF(ISNUMBER(tblTx[[#This Row],[Amount]]),IF(tblTx[[#This Row],[Type]]="Income",tblTx[[#This Row],[Amount]],IF(tblTx[[#This Row],[Type]]="Expense",-tblTx[[#This Row],[Amount]],0)),"")</f>
        <v/>
      </c>
      <c r="K140" s="35" t="str">
        <f>IF(AND(tblTx[[#This Row],[Type]]="Expense",ISNUMBER(tblTx[[#This Row],[Amount]]),ISNUMBER(tblTx[[#This Row],[Date]])),IF(AND(tblTx[[#This Row],[Date]]&gt;=StartDate,tblTx[[#This Row],[Date]]&lt;=EndDate),tblTx[[#This Row],[Amount]]-ROW()/10^7,""),"")</f>
        <v/>
      </c>
    </row>
    <row r="141">
      <c r="A141" s="32" t="n"/>
      <c r="B141" s="26" t="n"/>
      <c r="C141" s="24" t="n"/>
      <c r="D141" s="24" t="n"/>
      <c r="E141" s="25" t="n"/>
      <c r="F141" s="24" t="n"/>
      <c r="G141" s="24" t="n"/>
      <c r="H141" s="33" t="str">
        <f>IF(ISNUMBER(tblTx[[#This Row],[Date]]),DAY(tblTx[[#This Row],[Date]]),"")</f>
        <v/>
      </c>
      <c r="I141" s="33" t="str">
        <f>IF(ISNUMBER(tblTx[[#This Row],[Date]]),INT((DAY(tblTx[[#This Row],[Date]])-1)/7)+1,"")</f>
        <v/>
      </c>
      <c r="J141" s="34" t="str">
        <f>IF(ISNUMBER(tblTx[[#This Row],[Amount]]),IF(tblTx[[#This Row],[Type]]="Income",tblTx[[#This Row],[Amount]],IF(tblTx[[#This Row],[Type]]="Expense",-tblTx[[#This Row],[Amount]],0)),"")</f>
        <v/>
      </c>
      <c r="K141" s="35" t="str">
        <f>IF(AND(tblTx[[#This Row],[Type]]="Expense",ISNUMBER(tblTx[[#This Row],[Amount]]),ISNUMBER(tblTx[[#This Row],[Date]])),IF(AND(tblTx[[#This Row],[Date]]&gt;=StartDate,tblTx[[#This Row],[Date]]&lt;=EndDate),tblTx[[#This Row],[Amount]]-ROW()/10^7,""),"")</f>
        <v/>
      </c>
    </row>
    <row r="142">
      <c r="A142" s="32" t="n"/>
      <c r="B142" s="26" t="n"/>
      <c r="C142" s="24" t="n"/>
      <c r="D142" s="24" t="n"/>
      <c r="E142" s="25" t="n"/>
      <c r="F142" s="24" t="n"/>
      <c r="G142" s="24" t="n"/>
      <c r="H142" s="33" t="str">
        <f>IF(ISNUMBER(tblTx[[#This Row],[Date]]),DAY(tblTx[[#This Row],[Date]]),"")</f>
        <v/>
      </c>
      <c r="I142" s="33" t="str">
        <f>IF(ISNUMBER(tblTx[[#This Row],[Date]]),INT((DAY(tblTx[[#This Row],[Date]])-1)/7)+1,"")</f>
        <v/>
      </c>
      <c r="J142" s="34" t="str">
        <f>IF(ISNUMBER(tblTx[[#This Row],[Amount]]),IF(tblTx[[#This Row],[Type]]="Income",tblTx[[#This Row],[Amount]],IF(tblTx[[#This Row],[Type]]="Expense",-tblTx[[#This Row],[Amount]],0)),"")</f>
        <v/>
      </c>
      <c r="K142" s="35" t="str">
        <f>IF(AND(tblTx[[#This Row],[Type]]="Expense",ISNUMBER(tblTx[[#This Row],[Amount]]),ISNUMBER(tblTx[[#This Row],[Date]])),IF(AND(tblTx[[#This Row],[Date]]&gt;=StartDate,tblTx[[#This Row],[Date]]&lt;=EndDate),tblTx[[#This Row],[Amount]]-ROW()/10^7,""),"")</f>
        <v/>
      </c>
    </row>
    <row r="143">
      <c r="A143" s="32" t="n"/>
      <c r="B143" s="26" t="n"/>
      <c r="C143" s="24" t="n"/>
      <c r="D143" s="24" t="n"/>
      <c r="E143" s="25" t="n"/>
      <c r="F143" s="24" t="n"/>
      <c r="G143" s="24" t="n"/>
      <c r="H143" s="33" t="str">
        <f>IF(ISNUMBER(tblTx[[#This Row],[Date]]),DAY(tblTx[[#This Row],[Date]]),"")</f>
        <v/>
      </c>
      <c r="I143" s="33" t="str">
        <f>IF(ISNUMBER(tblTx[[#This Row],[Date]]),INT((DAY(tblTx[[#This Row],[Date]])-1)/7)+1,"")</f>
        <v/>
      </c>
      <c r="J143" s="34" t="str">
        <f>IF(ISNUMBER(tblTx[[#This Row],[Amount]]),IF(tblTx[[#This Row],[Type]]="Income",tblTx[[#This Row],[Amount]],IF(tblTx[[#This Row],[Type]]="Expense",-tblTx[[#This Row],[Amount]],0)),"")</f>
        <v/>
      </c>
      <c r="K143" s="35" t="str">
        <f>IF(AND(tblTx[[#This Row],[Type]]="Expense",ISNUMBER(tblTx[[#This Row],[Amount]]),ISNUMBER(tblTx[[#This Row],[Date]])),IF(AND(tblTx[[#This Row],[Date]]&gt;=StartDate,tblTx[[#This Row],[Date]]&lt;=EndDate),tblTx[[#This Row],[Amount]]-ROW()/10^7,""),"")</f>
        <v/>
      </c>
    </row>
    <row r="144">
      <c r="A144" s="32" t="n"/>
      <c r="B144" s="26" t="n"/>
      <c r="C144" s="24" t="n"/>
      <c r="D144" s="24" t="n"/>
      <c r="E144" s="25" t="n"/>
      <c r="F144" s="24" t="n"/>
      <c r="G144" s="24" t="n"/>
      <c r="H144" s="33" t="str">
        <f>IF(ISNUMBER(tblTx[[#This Row],[Date]]),DAY(tblTx[[#This Row],[Date]]),"")</f>
        <v/>
      </c>
      <c r="I144" s="33" t="str">
        <f>IF(ISNUMBER(tblTx[[#This Row],[Date]]),INT((DAY(tblTx[[#This Row],[Date]])-1)/7)+1,"")</f>
        <v/>
      </c>
      <c r="J144" s="34" t="str">
        <f>IF(ISNUMBER(tblTx[[#This Row],[Amount]]),IF(tblTx[[#This Row],[Type]]="Income",tblTx[[#This Row],[Amount]],IF(tblTx[[#This Row],[Type]]="Expense",-tblTx[[#This Row],[Amount]],0)),"")</f>
        <v/>
      </c>
      <c r="K144" s="35" t="str">
        <f>IF(AND(tblTx[[#This Row],[Type]]="Expense",ISNUMBER(tblTx[[#This Row],[Amount]]),ISNUMBER(tblTx[[#This Row],[Date]])),IF(AND(tblTx[[#This Row],[Date]]&gt;=StartDate,tblTx[[#This Row],[Date]]&lt;=EndDate),tblTx[[#This Row],[Amount]]-ROW()/10^7,""),"")</f>
        <v/>
      </c>
    </row>
    <row r="145">
      <c r="A145" s="32" t="n"/>
      <c r="B145" s="26" t="n"/>
      <c r="C145" s="24" t="n"/>
      <c r="D145" s="24" t="n"/>
      <c r="E145" s="25" t="n"/>
      <c r="F145" s="24" t="n"/>
      <c r="G145" s="24" t="n"/>
      <c r="H145" s="33" t="str">
        <f>IF(ISNUMBER(tblTx[[#This Row],[Date]]),DAY(tblTx[[#This Row],[Date]]),"")</f>
        <v/>
      </c>
      <c r="I145" s="33" t="str">
        <f>IF(ISNUMBER(tblTx[[#This Row],[Date]]),INT((DAY(tblTx[[#This Row],[Date]])-1)/7)+1,"")</f>
        <v/>
      </c>
      <c r="J145" s="34" t="str">
        <f>IF(ISNUMBER(tblTx[[#This Row],[Amount]]),IF(tblTx[[#This Row],[Type]]="Income",tblTx[[#This Row],[Amount]],IF(tblTx[[#This Row],[Type]]="Expense",-tblTx[[#This Row],[Amount]],0)),"")</f>
        <v/>
      </c>
      <c r="K145" s="35" t="str">
        <f>IF(AND(tblTx[[#This Row],[Type]]="Expense",ISNUMBER(tblTx[[#This Row],[Amount]]),ISNUMBER(tblTx[[#This Row],[Date]])),IF(AND(tblTx[[#This Row],[Date]]&gt;=StartDate,tblTx[[#This Row],[Date]]&lt;=EndDate),tblTx[[#This Row],[Amount]]-ROW()/10^7,""),"")</f>
        <v/>
      </c>
    </row>
    <row r="146">
      <c r="A146" s="32" t="n"/>
      <c r="B146" s="26" t="n"/>
      <c r="C146" s="24" t="n"/>
      <c r="D146" s="24" t="n"/>
      <c r="E146" s="25" t="n"/>
      <c r="F146" s="24" t="n"/>
      <c r="G146" s="24" t="n"/>
      <c r="H146" s="33" t="str">
        <f>IF(ISNUMBER(tblTx[[#This Row],[Date]]),DAY(tblTx[[#This Row],[Date]]),"")</f>
        <v/>
      </c>
      <c r="I146" s="33" t="str">
        <f>IF(ISNUMBER(tblTx[[#This Row],[Date]]),INT((DAY(tblTx[[#This Row],[Date]])-1)/7)+1,"")</f>
        <v/>
      </c>
      <c r="J146" s="34" t="str">
        <f>IF(ISNUMBER(tblTx[[#This Row],[Amount]]),IF(tblTx[[#This Row],[Type]]="Income",tblTx[[#This Row],[Amount]],IF(tblTx[[#This Row],[Type]]="Expense",-tblTx[[#This Row],[Amount]],0)),"")</f>
        <v/>
      </c>
      <c r="K146" s="35" t="str">
        <f>IF(AND(tblTx[[#This Row],[Type]]="Expense",ISNUMBER(tblTx[[#This Row],[Amount]]),ISNUMBER(tblTx[[#This Row],[Date]])),IF(AND(tblTx[[#This Row],[Date]]&gt;=StartDate,tblTx[[#This Row],[Date]]&lt;=EndDate),tblTx[[#This Row],[Amount]]-ROW()/10^7,""),"")</f>
        <v/>
      </c>
    </row>
    <row r="147">
      <c r="A147" s="32" t="n"/>
      <c r="B147" s="26" t="n"/>
      <c r="C147" s="24" t="n"/>
      <c r="D147" s="24" t="n"/>
      <c r="E147" s="25" t="n"/>
      <c r="F147" s="24" t="n"/>
      <c r="G147" s="24" t="n"/>
      <c r="H147" s="33" t="str">
        <f>IF(ISNUMBER(tblTx[[#This Row],[Date]]),DAY(tblTx[[#This Row],[Date]]),"")</f>
        <v/>
      </c>
      <c r="I147" s="33" t="str">
        <f>IF(ISNUMBER(tblTx[[#This Row],[Date]]),INT((DAY(tblTx[[#This Row],[Date]])-1)/7)+1,"")</f>
        <v/>
      </c>
      <c r="J147" s="34" t="str">
        <f>IF(ISNUMBER(tblTx[[#This Row],[Amount]]),IF(tblTx[[#This Row],[Type]]="Income",tblTx[[#This Row],[Amount]],IF(tblTx[[#This Row],[Type]]="Expense",-tblTx[[#This Row],[Amount]],0)),"")</f>
        <v/>
      </c>
      <c r="K147" s="35" t="str">
        <f>IF(AND(tblTx[[#This Row],[Type]]="Expense",ISNUMBER(tblTx[[#This Row],[Amount]]),ISNUMBER(tblTx[[#This Row],[Date]])),IF(AND(tblTx[[#This Row],[Date]]&gt;=StartDate,tblTx[[#This Row],[Date]]&lt;=EndDate),tblTx[[#This Row],[Amount]]-ROW()/10^7,""),"")</f>
        <v/>
      </c>
    </row>
    <row r="148">
      <c r="A148" s="32" t="n"/>
      <c r="B148" s="26" t="n"/>
      <c r="C148" s="24" t="n"/>
      <c r="D148" s="24" t="n"/>
      <c r="E148" s="25" t="n"/>
      <c r="F148" s="24" t="n"/>
      <c r="G148" s="24" t="n"/>
      <c r="H148" s="33" t="str">
        <f>IF(ISNUMBER(tblTx[[#This Row],[Date]]),DAY(tblTx[[#This Row],[Date]]),"")</f>
        <v/>
      </c>
      <c r="I148" s="33" t="str">
        <f>IF(ISNUMBER(tblTx[[#This Row],[Date]]),INT((DAY(tblTx[[#This Row],[Date]])-1)/7)+1,"")</f>
        <v/>
      </c>
      <c r="J148" s="34" t="str">
        <f>IF(ISNUMBER(tblTx[[#This Row],[Amount]]),IF(tblTx[[#This Row],[Type]]="Income",tblTx[[#This Row],[Amount]],IF(tblTx[[#This Row],[Type]]="Expense",-tblTx[[#This Row],[Amount]],0)),"")</f>
        <v/>
      </c>
      <c r="K148" s="35" t="str">
        <f>IF(AND(tblTx[[#This Row],[Type]]="Expense",ISNUMBER(tblTx[[#This Row],[Amount]]),ISNUMBER(tblTx[[#This Row],[Date]])),IF(AND(tblTx[[#This Row],[Date]]&gt;=StartDate,tblTx[[#This Row],[Date]]&lt;=EndDate),tblTx[[#This Row],[Amount]]-ROW()/10^7,""),"")</f>
        <v/>
      </c>
    </row>
    <row r="149">
      <c r="A149" s="32" t="n"/>
      <c r="B149" s="26" t="n"/>
      <c r="C149" s="24" t="n"/>
      <c r="D149" s="24" t="n"/>
      <c r="E149" s="25" t="n"/>
      <c r="F149" s="24" t="n"/>
      <c r="G149" s="24" t="n"/>
      <c r="H149" s="33" t="str">
        <f>IF(ISNUMBER(tblTx[[#This Row],[Date]]),DAY(tblTx[[#This Row],[Date]]),"")</f>
        <v/>
      </c>
      <c r="I149" s="33" t="str">
        <f>IF(ISNUMBER(tblTx[[#This Row],[Date]]),INT((DAY(tblTx[[#This Row],[Date]])-1)/7)+1,"")</f>
        <v/>
      </c>
      <c r="J149" s="34" t="str">
        <f>IF(ISNUMBER(tblTx[[#This Row],[Amount]]),IF(tblTx[[#This Row],[Type]]="Income",tblTx[[#This Row],[Amount]],IF(tblTx[[#This Row],[Type]]="Expense",-tblTx[[#This Row],[Amount]],0)),"")</f>
        <v/>
      </c>
      <c r="K149" s="35" t="str">
        <f>IF(AND(tblTx[[#This Row],[Type]]="Expense",ISNUMBER(tblTx[[#This Row],[Amount]]),ISNUMBER(tblTx[[#This Row],[Date]])),IF(AND(tblTx[[#This Row],[Date]]&gt;=StartDate,tblTx[[#This Row],[Date]]&lt;=EndDate),tblTx[[#This Row],[Amount]]-ROW()/10^7,""),"")</f>
        <v/>
      </c>
    </row>
    <row r="150">
      <c r="A150" s="32" t="n"/>
      <c r="B150" s="26" t="n"/>
      <c r="C150" s="24" t="n"/>
      <c r="D150" s="24" t="n"/>
      <c r="E150" s="25" t="n"/>
      <c r="F150" s="24" t="n"/>
      <c r="G150" s="24" t="n"/>
      <c r="H150" s="33" t="str">
        <f>IF(ISNUMBER(tblTx[[#This Row],[Date]]),DAY(tblTx[[#This Row],[Date]]),"")</f>
        <v/>
      </c>
      <c r="I150" s="33" t="str">
        <f>IF(ISNUMBER(tblTx[[#This Row],[Date]]),INT((DAY(tblTx[[#This Row],[Date]])-1)/7)+1,"")</f>
        <v/>
      </c>
      <c r="J150" s="34" t="str">
        <f>IF(ISNUMBER(tblTx[[#This Row],[Amount]]),IF(tblTx[[#This Row],[Type]]="Income",tblTx[[#This Row],[Amount]],IF(tblTx[[#This Row],[Type]]="Expense",-tblTx[[#This Row],[Amount]],0)),"")</f>
        <v/>
      </c>
      <c r="K150" s="35" t="str">
        <f>IF(AND(tblTx[[#This Row],[Type]]="Expense",ISNUMBER(tblTx[[#This Row],[Amount]]),ISNUMBER(tblTx[[#This Row],[Date]])),IF(AND(tblTx[[#This Row],[Date]]&gt;=StartDate,tblTx[[#This Row],[Date]]&lt;=EndDate),tblTx[[#This Row],[Amount]]-ROW()/10^7,""),"")</f>
        <v/>
      </c>
    </row>
    <row r="151">
      <c r="A151" s="32" t="n"/>
      <c r="B151" s="26" t="n"/>
      <c r="C151" s="24" t="n"/>
      <c r="D151" s="24" t="n"/>
      <c r="E151" s="25" t="n"/>
      <c r="F151" s="24" t="n"/>
      <c r="G151" s="24" t="n"/>
      <c r="H151" s="33" t="str">
        <f>IF(ISNUMBER(tblTx[[#This Row],[Date]]),DAY(tblTx[[#This Row],[Date]]),"")</f>
        <v/>
      </c>
      <c r="I151" s="33" t="str">
        <f>IF(ISNUMBER(tblTx[[#This Row],[Date]]),INT((DAY(tblTx[[#This Row],[Date]])-1)/7)+1,"")</f>
        <v/>
      </c>
      <c r="J151" s="34" t="str">
        <f>IF(ISNUMBER(tblTx[[#This Row],[Amount]]),IF(tblTx[[#This Row],[Type]]="Income",tblTx[[#This Row],[Amount]],IF(tblTx[[#This Row],[Type]]="Expense",-tblTx[[#This Row],[Amount]],0)),"")</f>
        <v/>
      </c>
      <c r="K151" s="35" t="str">
        <f>IF(AND(tblTx[[#This Row],[Type]]="Expense",ISNUMBER(tblTx[[#This Row],[Amount]]),ISNUMBER(tblTx[[#This Row],[Date]])),IF(AND(tblTx[[#This Row],[Date]]&gt;=StartDate,tblTx[[#This Row],[Date]]&lt;=EndDate),tblTx[[#This Row],[Amount]]-ROW()/10^7,""),"")</f>
        <v/>
      </c>
    </row>
    <row r="152">
      <c r="A152" s="32" t="n"/>
      <c r="B152" s="26" t="n"/>
      <c r="C152" s="24" t="n"/>
      <c r="D152" s="24" t="n"/>
      <c r="E152" s="25" t="n"/>
      <c r="F152" s="24" t="n"/>
      <c r="G152" s="24" t="n"/>
      <c r="H152" s="33" t="str">
        <f>IF(ISNUMBER(tblTx[[#This Row],[Date]]),DAY(tblTx[[#This Row],[Date]]),"")</f>
        <v/>
      </c>
      <c r="I152" s="33" t="str">
        <f>IF(ISNUMBER(tblTx[[#This Row],[Date]]),INT((DAY(tblTx[[#This Row],[Date]])-1)/7)+1,"")</f>
        <v/>
      </c>
      <c r="J152" s="34" t="str">
        <f>IF(ISNUMBER(tblTx[[#This Row],[Amount]]),IF(tblTx[[#This Row],[Type]]="Income",tblTx[[#This Row],[Amount]],IF(tblTx[[#This Row],[Type]]="Expense",-tblTx[[#This Row],[Amount]],0)),"")</f>
        <v/>
      </c>
      <c r="K152" s="35" t="str">
        <f>IF(AND(tblTx[[#This Row],[Type]]="Expense",ISNUMBER(tblTx[[#This Row],[Amount]]),ISNUMBER(tblTx[[#This Row],[Date]])),IF(AND(tblTx[[#This Row],[Date]]&gt;=StartDate,tblTx[[#This Row],[Date]]&lt;=EndDate),tblTx[[#This Row],[Amount]]-ROW()/10^7,""),"")</f>
        <v/>
      </c>
    </row>
    <row r="153">
      <c r="A153" s="32" t="n"/>
      <c r="B153" s="26" t="n"/>
      <c r="C153" s="24" t="n"/>
      <c r="D153" s="24" t="n"/>
      <c r="E153" s="25" t="n"/>
      <c r="F153" s="24" t="n"/>
      <c r="G153" s="24" t="n"/>
      <c r="H153" s="33" t="str">
        <f>IF(ISNUMBER(tblTx[[#This Row],[Date]]),DAY(tblTx[[#This Row],[Date]]),"")</f>
        <v/>
      </c>
      <c r="I153" s="33" t="str">
        <f>IF(ISNUMBER(tblTx[[#This Row],[Date]]),INT((DAY(tblTx[[#This Row],[Date]])-1)/7)+1,"")</f>
        <v/>
      </c>
      <c r="J153" s="34" t="str">
        <f>IF(ISNUMBER(tblTx[[#This Row],[Amount]]),IF(tblTx[[#This Row],[Type]]="Income",tblTx[[#This Row],[Amount]],IF(tblTx[[#This Row],[Type]]="Expense",-tblTx[[#This Row],[Amount]],0)),"")</f>
        <v/>
      </c>
      <c r="K153" s="35" t="str">
        <f>IF(AND(tblTx[[#This Row],[Type]]="Expense",ISNUMBER(tblTx[[#This Row],[Amount]]),ISNUMBER(tblTx[[#This Row],[Date]])),IF(AND(tblTx[[#This Row],[Date]]&gt;=StartDate,tblTx[[#This Row],[Date]]&lt;=EndDate),tblTx[[#This Row],[Amount]]-ROW()/10^7,""),"")</f>
        <v/>
      </c>
    </row>
    <row r="154">
      <c r="A154" s="32" t="n"/>
      <c r="B154" s="26" t="n"/>
      <c r="C154" s="24" t="n"/>
      <c r="D154" s="24" t="n"/>
      <c r="E154" s="25" t="n"/>
      <c r="F154" s="24" t="n"/>
      <c r="G154" s="24" t="n"/>
      <c r="H154" s="33" t="str">
        <f>IF(ISNUMBER(tblTx[[#This Row],[Date]]),DAY(tblTx[[#This Row],[Date]]),"")</f>
        <v/>
      </c>
      <c r="I154" s="33" t="str">
        <f>IF(ISNUMBER(tblTx[[#This Row],[Date]]),INT((DAY(tblTx[[#This Row],[Date]])-1)/7)+1,"")</f>
        <v/>
      </c>
      <c r="J154" s="34" t="str">
        <f>IF(ISNUMBER(tblTx[[#This Row],[Amount]]),IF(tblTx[[#This Row],[Type]]="Income",tblTx[[#This Row],[Amount]],IF(tblTx[[#This Row],[Type]]="Expense",-tblTx[[#This Row],[Amount]],0)),"")</f>
        <v/>
      </c>
      <c r="K154" s="35" t="str">
        <f>IF(AND(tblTx[[#This Row],[Type]]="Expense",ISNUMBER(tblTx[[#This Row],[Amount]]),ISNUMBER(tblTx[[#This Row],[Date]])),IF(AND(tblTx[[#This Row],[Date]]&gt;=StartDate,tblTx[[#This Row],[Date]]&lt;=EndDate),tblTx[[#This Row],[Amount]]-ROW()/10^7,""),"")</f>
        <v/>
      </c>
    </row>
    <row r="155">
      <c r="A155" s="32" t="n"/>
      <c r="B155" s="26" t="n"/>
      <c r="C155" s="24" t="n"/>
      <c r="D155" s="24" t="n"/>
      <c r="E155" s="25" t="n"/>
      <c r="F155" s="24" t="n"/>
      <c r="G155" s="24" t="n"/>
      <c r="H155" s="33" t="str">
        <f>IF(ISNUMBER(tblTx[[#This Row],[Date]]),DAY(tblTx[[#This Row],[Date]]),"")</f>
        <v/>
      </c>
      <c r="I155" s="33" t="str">
        <f>IF(ISNUMBER(tblTx[[#This Row],[Date]]),INT((DAY(tblTx[[#This Row],[Date]])-1)/7)+1,"")</f>
        <v/>
      </c>
      <c r="J155" s="34" t="str">
        <f>IF(ISNUMBER(tblTx[[#This Row],[Amount]]),IF(tblTx[[#This Row],[Type]]="Income",tblTx[[#This Row],[Amount]],IF(tblTx[[#This Row],[Type]]="Expense",-tblTx[[#This Row],[Amount]],0)),"")</f>
        <v/>
      </c>
      <c r="K155" s="35" t="str">
        <f>IF(AND(tblTx[[#This Row],[Type]]="Expense",ISNUMBER(tblTx[[#This Row],[Amount]]),ISNUMBER(tblTx[[#This Row],[Date]])),IF(AND(tblTx[[#This Row],[Date]]&gt;=StartDate,tblTx[[#This Row],[Date]]&lt;=EndDate),tblTx[[#This Row],[Amount]]-ROW()/10^7,""),"")</f>
        <v/>
      </c>
    </row>
    <row r="156">
      <c r="A156" s="32" t="n"/>
      <c r="B156" s="26" t="n"/>
      <c r="C156" s="24" t="n"/>
      <c r="D156" s="24" t="n"/>
      <c r="E156" s="25" t="n"/>
      <c r="F156" s="24" t="n"/>
      <c r="G156" s="24" t="n"/>
      <c r="H156" s="33" t="str">
        <f>IF(ISNUMBER(tblTx[[#This Row],[Date]]),DAY(tblTx[[#This Row],[Date]]),"")</f>
        <v/>
      </c>
      <c r="I156" s="33" t="str">
        <f>IF(ISNUMBER(tblTx[[#This Row],[Date]]),INT((DAY(tblTx[[#This Row],[Date]])-1)/7)+1,"")</f>
        <v/>
      </c>
      <c r="J156" s="34" t="str">
        <f>IF(ISNUMBER(tblTx[[#This Row],[Amount]]),IF(tblTx[[#This Row],[Type]]="Income",tblTx[[#This Row],[Amount]],IF(tblTx[[#This Row],[Type]]="Expense",-tblTx[[#This Row],[Amount]],0)),"")</f>
        <v/>
      </c>
      <c r="K156" s="35" t="str">
        <f>IF(AND(tblTx[[#This Row],[Type]]="Expense",ISNUMBER(tblTx[[#This Row],[Amount]]),ISNUMBER(tblTx[[#This Row],[Date]])),IF(AND(tblTx[[#This Row],[Date]]&gt;=StartDate,tblTx[[#This Row],[Date]]&lt;=EndDate),tblTx[[#This Row],[Amount]]-ROW()/10^7,""),"")</f>
        <v/>
      </c>
    </row>
    <row r="157">
      <c r="A157" s="32" t="n"/>
      <c r="B157" s="26" t="n"/>
      <c r="C157" s="24" t="n"/>
      <c r="D157" s="24" t="n"/>
      <c r="E157" s="25" t="n"/>
      <c r="F157" s="24" t="n"/>
      <c r="G157" s="24" t="n"/>
      <c r="H157" s="33" t="str">
        <f>IF(ISNUMBER(tblTx[[#This Row],[Date]]),DAY(tblTx[[#This Row],[Date]]),"")</f>
        <v/>
      </c>
      <c r="I157" s="33" t="str">
        <f>IF(ISNUMBER(tblTx[[#This Row],[Date]]),INT((DAY(tblTx[[#This Row],[Date]])-1)/7)+1,"")</f>
        <v/>
      </c>
      <c r="J157" s="34" t="str">
        <f>IF(ISNUMBER(tblTx[[#This Row],[Amount]]),IF(tblTx[[#This Row],[Type]]="Income",tblTx[[#This Row],[Amount]],IF(tblTx[[#This Row],[Type]]="Expense",-tblTx[[#This Row],[Amount]],0)),"")</f>
        <v/>
      </c>
      <c r="K157" s="35" t="str">
        <f>IF(AND(tblTx[[#This Row],[Type]]="Expense",ISNUMBER(tblTx[[#This Row],[Amount]]),ISNUMBER(tblTx[[#This Row],[Date]])),IF(AND(tblTx[[#This Row],[Date]]&gt;=StartDate,tblTx[[#This Row],[Date]]&lt;=EndDate),tblTx[[#This Row],[Amount]]-ROW()/10^7,""),"")</f>
        <v/>
      </c>
    </row>
    <row r="158">
      <c r="A158" s="32" t="n"/>
      <c r="B158" s="26" t="n"/>
      <c r="C158" s="24" t="n"/>
      <c r="D158" s="24" t="n"/>
      <c r="E158" s="25" t="n"/>
      <c r="F158" s="24" t="n"/>
      <c r="G158" s="24" t="n"/>
      <c r="H158" s="33" t="str">
        <f>IF(ISNUMBER(tblTx[[#This Row],[Date]]),DAY(tblTx[[#This Row],[Date]]),"")</f>
        <v/>
      </c>
      <c r="I158" s="33" t="str">
        <f>IF(ISNUMBER(tblTx[[#This Row],[Date]]),INT((DAY(tblTx[[#This Row],[Date]])-1)/7)+1,"")</f>
        <v/>
      </c>
      <c r="J158" s="34" t="str">
        <f>IF(ISNUMBER(tblTx[[#This Row],[Amount]]),IF(tblTx[[#This Row],[Type]]="Income",tblTx[[#This Row],[Amount]],IF(tblTx[[#This Row],[Type]]="Expense",-tblTx[[#This Row],[Amount]],0)),"")</f>
        <v/>
      </c>
      <c r="K158" s="35" t="str">
        <f>IF(AND(tblTx[[#This Row],[Type]]="Expense",ISNUMBER(tblTx[[#This Row],[Amount]]),ISNUMBER(tblTx[[#This Row],[Date]])),IF(AND(tblTx[[#This Row],[Date]]&gt;=StartDate,tblTx[[#This Row],[Date]]&lt;=EndDate),tblTx[[#This Row],[Amount]]-ROW()/10^7,""),"")</f>
        <v/>
      </c>
    </row>
    <row r="159">
      <c r="A159" s="32" t="n"/>
      <c r="B159" s="26" t="n"/>
      <c r="C159" s="24" t="n"/>
      <c r="D159" s="24" t="n"/>
      <c r="E159" s="25" t="n"/>
      <c r="F159" s="24" t="n"/>
      <c r="G159" s="24" t="n"/>
      <c r="H159" s="33" t="str">
        <f>IF(ISNUMBER(tblTx[[#This Row],[Date]]),DAY(tblTx[[#This Row],[Date]]),"")</f>
        <v/>
      </c>
      <c r="I159" s="33" t="str">
        <f>IF(ISNUMBER(tblTx[[#This Row],[Date]]),INT((DAY(tblTx[[#This Row],[Date]])-1)/7)+1,"")</f>
        <v/>
      </c>
      <c r="J159" s="34" t="str">
        <f>IF(ISNUMBER(tblTx[[#This Row],[Amount]]),IF(tblTx[[#This Row],[Type]]="Income",tblTx[[#This Row],[Amount]],IF(tblTx[[#This Row],[Type]]="Expense",-tblTx[[#This Row],[Amount]],0)),"")</f>
        <v/>
      </c>
      <c r="K159" s="35" t="str">
        <f>IF(AND(tblTx[[#This Row],[Type]]="Expense",ISNUMBER(tblTx[[#This Row],[Amount]]),ISNUMBER(tblTx[[#This Row],[Date]])),IF(AND(tblTx[[#This Row],[Date]]&gt;=StartDate,tblTx[[#This Row],[Date]]&lt;=EndDate),tblTx[[#This Row],[Amount]]-ROW()/10^7,""),"")</f>
        <v/>
      </c>
    </row>
    <row r="160">
      <c r="A160" s="32" t="n"/>
      <c r="B160" s="26" t="n"/>
      <c r="C160" s="24" t="n"/>
      <c r="D160" s="24" t="n"/>
      <c r="E160" s="25" t="n"/>
      <c r="F160" s="24" t="n"/>
      <c r="G160" s="24" t="n"/>
      <c r="H160" s="33" t="str">
        <f>IF(ISNUMBER(tblTx[[#This Row],[Date]]),DAY(tblTx[[#This Row],[Date]]),"")</f>
        <v/>
      </c>
      <c r="I160" s="33" t="str">
        <f>IF(ISNUMBER(tblTx[[#This Row],[Date]]),INT((DAY(tblTx[[#This Row],[Date]])-1)/7)+1,"")</f>
        <v/>
      </c>
      <c r="J160" s="34" t="str">
        <f>IF(ISNUMBER(tblTx[[#This Row],[Amount]]),IF(tblTx[[#This Row],[Type]]="Income",tblTx[[#This Row],[Amount]],IF(tblTx[[#This Row],[Type]]="Expense",-tblTx[[#This Row],[Amount]],0)),"")</f>
        <v/>
      </c>
      <c r="K160" s="35" t="str">
        <f>IF(AND(tblTx[[#This Row],[Type]]="Expense",ISNUMBER(tblTx[[#This Row],[Amount]]),ISNUMBER(tblTx[[#This Row],[Date]])),IF(AND(tblTx[[#This Row],[Date]]&gt;=StartDate,tblTx[[#This Row],[Date]]&lt;=EndDate),tblTx[[#This Row],[Amount]]-ROW()/10^7,""),"")</f>
        <v/>
      </c>
    </row>
    <row r="161">
      <c r="A161" s="32" t="n"/>
      <c r="B161" s="26" t="n"/>
      <c r="C161" s="24" t="n"/>
      <c r="D161" s="24" t="n"/>
      <c r="E161" s="25" t="n"/>
      <c r="F161" s="24" t="n"/>
      <c r="G161" s="24" t="n"/>
      <c r="H161" s="33" t="str">
        <f>IF(ISNUMBER(tblTx[[#This Row],[Date]]),DAY(tblTx[[#This Row],[Date]]),"")</f>
        <v/>
      </c>
      <c r="I161" s="33" t="str">
        <f>IF(ISNUMBER(tblTx[[#This Row],[Date]]),INT((DAY(tblTx[[#This Row],[Date]])-1)/7)+1,"")</f>
        <v/>
      </c>
      <c r="J161" s="34" t="str">
        <f>IF(ISNUMBER(tblTx[[#This Row],[Amount]]),IF(tblTx[[#This Row],[Type]]="Income",tblTx[[#This Row],[Amount]],IF(tblTx[[#This Row],[Type]]="Expense",-tblTx[[#This Row],[Amount]],0)),"")</f>
        <v/>
      </c>
      <c r="K161" s="35" t="str">
        <f>IF(AND(tblTx[[#This Row],[Type]]="Expense",ISNUMBER(tblTx[[#This Row],[Amount]]),ISNUMBER(tblTx[[#This Row],[Date]])),IF(AND(tblTx[[#This Row],[Date]]&gt;=StartDate,tblTx[[#This Row],[Date]]&lt;=EndDate),tblTx[[#This Row],[Amount]]-ROW()/10^7,""),"")</f>
        <v/>
      </c>
    </row>
    <row r="162">
      <c r="A162" s="32" t="n"/>
      <c r="B162" s="26" t="n"/>
      <c r="C162" s="24" t="n"/>
      <c r="D162" s="24" t="n"/>
      <c r="E162" s="25" t="n"/>
      <c r="F162" s="24" t="n"/>
      <c r="G162" s="24" t="n"/>
      <c r="H162" s="33" t="str">
        <f>IF(ISNUMBER(tblTx[[#This Row],[Date]]),DAY(tblTx[[#This Row],[Date]]),"")</f>
        <v/>
      </c>
      <c r="I162" s="33" t="str">
        <f>IF(ISNUMBER(tblTx[[#This Row],[Date]]),INT((DAY(tblTx[[#This Row],[Date]])-1)/7)+1,"")</f>
        <v/>
      </c>
      <c r="J162" s="34" t="str">
        <f>IF(ISNUMBER(tblTx[[#This Row],[Amount]]),IF(tblTx[[#This Row],[Type]]="Income",tblTx[[#This Row],[Amount]],IF(tblTx[[#This Row],[Type]]="Expense",-tblTx[[#This Row],[Amount]],0)),"")</f>
        <v/>
      </c>
      <c r="K162" s="35" t="str">
        <f>IF(AND(tblTx[[#This Row],[Type]]="Expense",ISNUMBER(tblTx[[#This Row],[Amount]]),ISNUMBER(tblTx[[#This Row],[Date]])),IF(AND(tblTx[[#This Row],[Date]]&gt;=StartDate,tblTx[[#This Row],[Date]]&lt;=EndDate),tblTx[[#This Row],[Amount]]-ROW()/10^7,""),"")</f>
        <v/>
      </c>
    </row>
    <row r="163">
      <c r="A163" s="32" t="n"/>
      <c r="B163" s="26" t="n"/>
      <c r="C163" s="24" t="n"/>
      <c r="D163" s="24" t="n"/>
      <c r="E163" s="25" t="n"/>
      <c r="F163" s="24" t="n"/>
      <c r="G163" s="24" t="n"/>
      <c r="H163" s="33" t="str">
        <f>IF(ISNUMBER(tblTx[[#This Row],[Date]]),DAY(tblTx[[#This Row],[Date]]),"")</f>
        <v/>
      </c>
      <c r="I163" s="33" t="str">
        <f>IF(ISNUMBER(tblTx[[#This Row],[Date]]),INT((DAY(tblTx[[#This Row],[Date]])-1)/7)+1,"")</f>
        <v/>
      </c>
      <c r="J163" s="34" t="str">
        <f>IF(ISNUMBER(tblTx[[#This Row],[Amount]]),IF(tblTx[[#This Row],[Type]]="Income",tblTx[[#This Row],[Amount]],IF(tblTx[[#This Row],[Type]]="Expense",-tblTx[[#This Row],[Amount]],0)),"")</f>
        <v/>
      </c>
      <c r="K163" s="35" t="str">
        <f>IF(AND(tblTx[[#This Row],[Type]]="Expense",ISNUMBER(tblTx[[#This Row],[Amount]]),ISNUMBER(tblTx[[#This Row],[Date]])),IF(AND(tblTx[[#This Row],[Date]]&gt;=StartDate,tblTx[[#This Row],[Date]]&lt;=EndDate),tblTx[[#This Row],[Amount]]-ROW()/10^7,""),"")</f>
        <v/>
      </c>
    </row>
    <row r="164">
      <c r="A164" s="32" t="n"/>
      <c r="B164" s="26" t="n"/>
      <c r="C164" s="24" t="n"/>
      <c r="D164" s="24" t="n"/>
      <c r="E164" s="25" t="n"/>
      <c r="F164" s="24" t="n"/>
      <c r="G164" s="24" t="n"/>
      <c r="H164" s="33" t="str">
        <f>IF(ISNUMBER(tblTx[[#This Row],[Date]]),DAY(tblTx[[#This Row],[Date]]),"")</f>
        <v/>
      </c>
      <c r="I164" s="33" t="str">
        <f>IF(ISNUMBER(tblTx[[#This Row],[Date]]),INT((DAY(tblTx[[#This Row],[Date]])-1)/7)+1,"")</f>
        <v/>
      </c>
      <c r="J164" s="34" t="str">
        <f>IF(ISNUMBER(tblTx[[#This Row],[Amount]]),IF(tblTx[[#This Row],[Type]]="Income",tblTx[[#This Row],[Amount]],IF(tblTx[[#This Row],[Type]]="Expense",-tblTx[[#This Row],[Amount]],0)),"")</f>
        <v/>
      </c>
      <c r="K164" s="35" t="str">
        <f>IF(AND(tblTx[[#This Row],[Type]]="Expense",ISNUMBER(tblTx[[#This Row],[Amount]]),ISNUMBER(tblTx[[#This Row],[Date]])),IF(AND(tblTx[[#This Row],[Date]]&gt;=StartDate,tblTx[[#This Row],[Date]]&lt;=EndDate),tblTx[[#This Row],[Amount]]-ROW()/10^7,""),"")</f>
        <v/>
      </c>
    </row>
    <row r="165">
      <c r="A165" s="32" t="n"/>
      <c r="B165" s="26" t="n"/>
      <c r="C165" s="24" t="n"/>
      <c r="D165" s="24" t="n"/>
      <c r="E165" s="25" t="n"/>
      <c r="F165" s="24" t="n"/>
      <c r="G165" s="24" t="n"/>
      <c r="H165" s="33" t="str">
        <f>IF(ISNUMBER(tblTx[[#This Row],[Date]]),DAY(tblTx[[#This Row],[Date]]),"")</f>
        <v/>
      </c>
      <c r="I165" s="33" t="str">
        <f>IF(ISNUMBER(tblTx[[#This Row],[Date]]),INT((DAY(tblTx[[#This Row],[Date]])-1)/7)+1,"")</f>
        <v/>
      </c>
      <c r="J165" s="34" t="str">
        <f>IF(ISNUMBER(tblTx[[#This Row],[Amount]]),IF(tblTx[[#This Row],[Type]]="Income",tblTx[[#This Row],[Amount]],IF(tblTx[[#This Row],[Type]]="Expense",-tblTx[[#This Row],[Amount]],0)),"")</f>
        <v/>
      </c>
      <c r="K165" s="35" t="str">
        <f>IF(AND(tblTx[[#This Row],[Type]]="Expense",ISNUMBER(tblTx[[#This Row],[Amount]]),ISNUMBER(tblTx[[#This Row],[Date]])),IF(AND(tblTx[[#This Row],[Date]]&gt;=StartDate,tblTx[[#This Row],[Date]]&lt;=EndDate),tblTx[[#This Row],[Amount]]-ROW()/10^7,""),"")</f>
        <v/>
      </c>
    </row>
    <row r="166">
      <c r="A166" s="32" t="n"/>
      <c r="B166" s="26" t="n"/>
      <c r="C166" s="24" t="n"/>
      <c r="D166" s="24" t="n"/>
      <c r="E166" s="25" t="n"/>
      <c r="F166" s="24" t="n"/>
      <c r="G166" s="24" t="n"/>
      <c r="H166" s="33" t="str">
        <f>IF(ISNUMBER(tblTx[[#This Row],[Date]]),DAY(tblTx[[#This Row],[Date]]),"")</f>
        <v/>
      </c>
      <c r="I166" s="33" t="str">
        <f>IF(ISNUMBER(tblTx[[#This Row],[Date]]),INT((DAY(tblTx[[#This Row],[Date]])-1)/7)+1,"")</f>
        <v/>
      </c>
      <c r="J166" s="34" t="str">
        <f>IF(ISNUMBER(tblTx[[#This Row],[Amount]]),IF(tblTx[[#This Row],[Type]]="Income",tblTx[[#This Row],[Amount]],IF(tblTx[[#This Row],[Type]]="Expense",-tblTx[[#This Row],[Amount]],0)),"")</f>
        <v/>
      </c>
      <c r="K166" s="35" t="str">
        <f>IF(AND(tblTx[[#This Row],[Type]]="Expense",ISNUMBER(tblTx[[#This Row],[Amount]]),ISNUMBER(tblTx[[#This Row],[Date]])),IF(AND(tblTx[[#This Row],[Date]]&gt;=StartDate,tblTx[[#This Row],[Date]]&lt;=EndDate),tblTx[[#This Row],[Amount]]-ROW()/10^7,""),"")</f>
        <v/>
      </c>
    </row>
    <row r="167">
      <c r="A167" s="32" t="n"/>
      <c r="B167" s="26" t="n"/>
      <c r="C167" s="24" t="n"/>
      <c r="D167" s="24" t="n"/>
      <c r="E167" s="25" t="n"/>
      <c r="F167" s="24" t="n"/>
      <c r="G167" s="24" t="n"/>
      <c r="H167" s="33" t="str">
        <f>IF(ISNUMBER(tblTx[[#This Row],[Date]]),DAY(tblTx[[#This Row],[Date]]),"")</f>
        <v/>
      </c>
      <c r="I167" s="33" t="str">
        <f>IF(ISNUMBER(tblTx[[#This Row],[Date]]),INT((DAY(tblTx[[#This Row],[Date]])-1)/7)+1,"")</f>
        <v/>
      </c>
      <c r="J167" s="34" t="str">
        <f>IF(ISNUMBER(tblTx[[#This Row],[Amount]]),IF(tblTx[[#This Row],[Type]]="Income",tblTx[[#This Row],[Amount]],IF(tblTx[[#This Row],[Type]]="Expense",-tblTx[[#This Row],[Amount]],0)),"")</f>
        <v/>
      </c>
      <c r="K167" s="35" t="str">
        <f>IF(AND(tblTx[[#This Row],[Type]]="Expense",ISNUMBER(tblTx[[#This Row],[Amount]]),ISNUMBER(tblTx[[#This Row],[Date]])),IF(AND(tblTx[[#This Row],[Date]]&gt;=StartDate,tblTx[[#This Row],[Date]]&lt;=EndDate),tblTx[[#This Row],[Amount]]-ROW()/10^7,""),"")</f>
        <v/>
      </c>
    </row>
    <row r="168">
      <c r="A168" s="32" t="n"/>
      <c r="B168" s="26" t="n"/>
      <c r="C168" s="24" t="n"/>
      <c r="D168" s="24" t="n"/>
      <c r="E168" s="25" t="n"/>
      <c r="F168" s="24" t="n"/>
      <c r="G168" s="24" t="n"/>
      <c r="H168" s="33" t="str">
        <f>IF(ISNUMBER(tblTx[[#This Row],[Date]]),DAY(tblTx[[#This Row],[Date]]),"")</f>
        <v/>
      </c>
      <c r="I168" s="33" t="str">
        <f>IF(ISNUMBER(tblTx[[#This Row],[Date]]),INT((DAY(tblTx[[#This Row],[Date]])-1)/7)+1,"")</f>
        <v/>
      </c>
      <c r="J168" s="34" t="str">
        <f>IF(ISNUMBER(tblTx[[#This Row],[Amount]]),IF(tblTx[[#This Row],[Type]]="Income",tblTx[[#This Row],[Amount]],IF(tblTx[[#This Row],[Type]]="Expense",-tblTx[[#This Row],[Amount]],0)),"")</f>
        <v/>
      </c>
      <c r="K168" s="35" t="str">
        <f>IF(AND(tblTx[[#This Row],[Type]]="Expense",ISNUMBER(tblTx[[#This Row],[Amount]]),ISNUMBER(tblTx[[#This Row],[Date]])),IF(AND(tblTx[[#This Row],[Date]]&gt;=StartDate,tblTx[[#This Row],[Date]]&lt;=EndDate),tblTx[[#This Row],[Amount]]-ROW()/10^7,""),"")</f>
        <v/>
      </c>
    </row>
    <row r="169">
      <c r="A169" s="32" t="n"/>
      <c r="B169" s="26" t="n"/>
      <c r="C169" s="24" t="n"/>
      <c r="D169" s="24" t="n"/>
      <c r="E169" s="25" t="n"/>
      <c r="F169" s="24" t="n"/>
      <c r="G169" s="24" t="n"/>
      <c r="H169" s="33" t="str">
        <f>IF(ISNUMBER(tblTx[[#This Row],[Date]]),DAY(tblTx[[#This Row],[Date]]),"")</f>
        <v/>
      </c>
      <c r="I169" s="33" t="str">
        <f>IF(ISNUMBER(tblTx[[#This Row],[Date]]),INT((DAY(tblTx[[#This Row],[Date]])-1)/7)+1,"")</f>
        <v/>
      </c>
      <c r="J169" s="34" t="str">
        <f>IF(ISNUMBER(tblTx[[#This Row],[Amount]]),IF(tblTx[[#This Row],[Type]]="Income",tblTx[[#This Row],[Amount]],IF(tblTx[[#This Row],[Type]]="Expense",-tblTx[[#This Row],[Amount]],0)),"")</f>
        <v/>
      </c>
      <c r="K169" s="35" t="str">
        <f>IF(AND(tblTx[[#This Row],[Type]]="Expense",ISNUMBER(tblTx[[#This Row],[Amount]]),ISNUMBER(tblTx[[#This Row],[Date]])),IF(AND(tblTx[[#This Row],[Date]]&gt;=StartDate,tblTx[[#This Row],[Date]]&lt;=EndDate),tblTx[[#This Row],[Amount]]-ROW()/10^7,""),"")</f>
        <v/>
      </c>
    </row>
    <row r="170">
      <c r="A170" s="32" t="n"/>
      <c r="B170" s="26" t="n"/>
      <c r="C170" s="24" t="n"/>
      <c r="D170" s="24" t="n"/>
      <c r="E170" s="25" t="n"/>
      <c r="F170" s="24" t="n"/>
      <c r="G170" s="24" t="n"/>
      <c r="H170" s="33" t="str">
        <f>IF(ISNUMBER(tblTx[[#This Row],[Date]]),DAY(tblTx[[#This Row],[Date]]),"")</f>
        <v/>
      </c>
      <c r="I170" s="33" t="str">
        <f>IF(ISNUMBER(tblTx[[#This Row],[Date]]),INT((DAY(tblTx[[#This Row],[Date]])-1)/7)+1,"")</f>
        <v/>
      </c>
      <c r="J170" s="34" t="str">
        <f>IF(ISNUMBER(tblTx[[#This Row],[Amount]]),IF(tblTx[[#This Row],[Type]]="Income",tblTx[[#This Row],[Amount]],IF(tblTx[[#This Row],[Type]]="Expense",-tblTx[[#This Row],[Amount]],0)),"")</f>
        <v/>
      </c>
      <c r="K170" s="35" t="str">
        <f>IF(AND(tblTx[[#This Row],[Type]]="Expense",ISNUMBER(tblTx[[#This Row],[Amount]]),ISNUMBER(tblTx[[#This Row],[Date]])),IF(AND(tblTx[[#This Row],[Date]]&gt;=StartDate,tblTx[[#This Row],[Date]]&lt;=EndDate),tblTx[[#This Row],[Amount]]-ROW()/10^7,""),"")</f>
        <v/>
      </c>
    </row>
    <row r="171">
      <c r="A171" s="32" t="n"/>
      <c r="B171" s="26" t="n"/>
      <c r="C171" s="24" t="n"/>
      <c r="D171" s="24" t="n"/>
      <c r="E171" s="25" t="n"/>
      <c r="F171" s="24" t="n"/>
      <c r="G171" s="24" t="n"/>
      <c r="H171" s="33" t="str">
        <f>IF(ISNUMBER(tblTx[[#This Row],[Date]]),DAY(tblTx[[#This Row],[Date]]),"")</f>
        <v/>
      </c>
      <c r="I171" s="33" t="str">
        <f>IF(ISNUMBER(tblTx[[#This Row],[Date]]),INT((DAY(tblTx[[#This Row],[Date]])-1)/7)+1,"")</f>
        <v/>
      </c>
      <c r="J171" s="34" t="str">
        <f>IF(ISNUMBER(tblTx[[#This Row],[Amount]]),IF(tblTx[[#This Row],[Type]]="Income",tblTx[[#This Row],[Amount]],IF(tblTx[[#This Row],[Type]]="Expense",-tblTx[[#This Row],[Amount]],0)),"")</f>
        <v/>
      </c>
      <c r="K171" s="35" t="str">
        <f>IF(AND(tblTx[[#This Row],[Type]]="Expense",ISNUMBER(tblTx[[#This Row],[Amount]]),ISNUMBER(tblTx[[#This Row],[Date]])),IF(AND(tblTx[[#This Row],[Date]]&gt;=StartDate,tblTx[[#This Row],[Date]]&lt;=EndDate),tblTx[[#This Row],[Amount]]-ROW()/10^7,""),"")</f>
        <v/>
      </c>
    </row>
    <row r="172">
      <c r="A172" s="32" t="n"/>
      <c r="B172" s="26" t="n"/>
      <c r="C172" s="24" t="n"/>
      <c r="D172" s="24" t="n"/>
      <c r="E172" s="25" t="n"/>
      <c r="F172" s="24" t="n"/>
      <c r="G172" s="24" t="n"/>
      <c r="H172" s="33" t="str">
        <f>IF(ISNUMBER(tblTx[[#This Row],[Date]]),DAY(tblTx[[#This Row],[Date]]),"")</f>
        <v/>
      </c>
      <c r="I172" s="33" t="str">
        <f>IF(ISNUMBER(tblTx[[#This Row],[Date]]),INT((DAY(tblTx[[#This Row],[Date]])-1)/7)+1,"")</f>
        <v/>
      </c>
      <c r="J172" s="34" t="str">
        <f>IF(ISNUMBER(tblTx[[#This Row],[Amount]]),IF(tblTx[[#This Row],[Type]]="Income",tblTx[[#This Row],[Amount]],IF(tblTx[[#This Row],[Type]]="Expense",-tblTx[[#This Row],[Amount]],0)),"")</f>
        <v/>
      </c>
      <c r="K172" s="35" t="str">
        <f>IF(AND(tblTx[[#This Row],[Type]]="Expense",ISNUMBER(tblTx[[#This Row],[Amount]]),ISNUMBER(tblTx[[#This Row],[Date]])),IF(AND(tblTx[[#This Row],[Date]]&gt;=StartDate,tblTx[[#This Row],[Date]]&lt;=EndDate),tblTx[[#This Row],[Amount]]-ROW()/10^7,""),"")</f>
        <v/>
      </c>
    </row>
    <row r="173">
      <c r="A173" s="32" t="n"/>
      <c r="B173" s="26" t="n"/>
      <c r="C173" s="24" t="n"/>
      <c r="D173" s="24" t="n"/>
      <c r="E173" s="25" t="n"/>
      <c r="F173" s="24" t="n"/>
      <c r="G173" s="24" t="n"/>
      <c r="H173" s="33" t="str">
        <f>IF(ISNUMBER(tblTx[[#This Row],[Date]]),DAY(tblTx[[#This Row],[Date]]),"")</f>
        <v/>
      </c>
      <c r="I173" s="33" t="str">
        <f>IF(ISNUMBER(tblTx[[#This Row],[Date]]),INT((DAY(tblTx[[#This Row],[Date]])-1)/7)+1,"")</f>
        <v/>
      </c>
      <c r="J173" s="34" t="str">
        <f>IF(ISNUMBER(tblTx[[#This Row],[Amount]]),IF(tblTx[[#This Row],[Type]]="Income",tblTx[[#This Row],[Amount]],IF(tblTx[[#This Row],[Type]]="Expense",-tblTx[[#This Row],[Amount]],0)),"")</f>
        <v/>
      </c>
      <c r="K173" s="35" t="str">
        <f>IF(AND(tblTx[[#This Row],[Type]]="Expense",ISNUMBER(tblTx[[#This Row],[Amount]]),ISNUMBER(tblTx[[#This Row],[Date]])),IF(AND(tblTx[[#This Row],[Date]]&gt;=StartDate,tblTx[[#This Row],[Date]]&lt;=EndDate),tblTx[[#This Row],[Amount]]-ROW()/10^7,""),"")</f>
        <v/>
      </c>
    </row>
    <row r="174">
      <c r="A174" s="32" t="n"/>
      <c r="B174" s="26" t="n"/>
      <c r="C174" s="24" t="n"/>
      <c r="D174" s="24" t="n"/>
      <c r="E174" s="25" t="n"/>
      <c r="F174" s="24" t="n"/>
      <c r="G174" s="24" t="n"/>
      <c r="H174" s="33" t="str">
        <f>IF(ISNUMBER(tblTx[[#This Row],[Date]]),DAY(tblTx[[#This Row],[Date]]),"")</f>
        <v/>
      </c>
      <c r="I174" s="33" t="str">
        <f>IF(ISNUMBER(tblTx[[#This Row],[Date]]),INT((DAY(tblTx[[#This Row],[Date]])-1)/7)+1,"")</f>
        <v/>
      </c>
      <c r="J174" s="34" t="str">
        <f>IF(ISNUMBER(tblTx[[#This Row],[Amount]]),IF(tblTx[[#This Row],[Type]]="Income",tblTx[[#This Row],[Amount]],IF(tblTx[[#This Row],[Type]]="Expense",-tblTx[[#This Row],[Amount]],0)),"")</f>
        <v/>
      </c>
      <c r="K174" s="35" t="str">
        <f>IF(AND(tblTx[[#This Row],[Type]]="Expense",ISNUMBER(tblTx[[#This Row],[Amount]]),ISNUMBER(tblTx[[#This Row],[Date]])),IF(AND(tblTx[[#This Row],[Date]]&gt;=StartDate,tblTx[[#This Row],[Date]]&lt;=EndDate),tblTx[[#This Row],[Amount]]-ROW()/10^7,""),"")</f>
        <v/>
      </c>
    </row>
    <row r="175">
      <c r="A175" s="32" t="n"/>
      <c r="B175" s="26" t="n"/>
      <c r="C175" s="24" t="n"/>
      <c r="D175" s="24" t="n"/>
      <c r="E175" s="25" t="n"/>
      <c r="F175" s="24" t="n"/>
      <c r="G175" s="24" t="n"/>
      <c r="H175" s="33" t="str">
        <f>IF(ISNUMBER(tblTx[[#This Row],[Date]]),DAY(tblTx[[#This Row],[Date]]),"")</f>
        <v/>
      </c>
      <c r="I175" s="33" t="str">
        <f>IF(ISNUMBER(tblTx[[#This Row],[Date]]),INT((DAY(tblTx[[#This Row],[Date]])-1)/7)+1,"")</f>
        <v/>
      </c>
      <c r="J175" s="34" t="str">
        <f>IF(ISNUMBER(tblTx[[#This Row],[Amount]]),IF(tblTx[[#This Row],[Type]]="Income",tblTx[[#This Row],[Amount]],IF(tblTx[[#This Row],[Type]]="Expense",-tblTx[[#This Row],[Amount]],0)),"")</f>
        <v/>
      </c>
      <c r="K175" s="35" t="str">
        <f>IF(AND(tblTx[[#This Row],[Type]]="Expense",ISNUMBER(tblTx[[#This Row],[Amount]]),ISNUMBER(tblTx[[#This Row],[Date]])),IF(AND(tblTx[[#This Row],[Date]]&gt;=StartDate,tblTx[[#This Row],[Date]]&lt;=EndDate),tblTx[[#This Row],[Amount]]-ROW()/10^7,""),"")</f>
        <v/>
      </c>
    </row>
    <row r="176">
      <c r="A176" s="32" t="n"/>
      <c r="B176" s="26" t="n"/>
      <c r="C176" s="24" t="n"/>
      <c r="D176" s="24" t="n"/>
      <c r="E176" s="25" t="n"/>
      <c r="F176" s="24" t="n"/>
      <c r="G176" s="24" t="n"/>
      <c r="H176" s="33" t="str">
        <f>IF(ISNUMBER(tblTx[[#This Row],[Date]]),DAY(tblTx[[#This Row],[Date]]),"")</f>
        <v/>
      </c>
      <c r="I176" s="33" t="str">
        <f>IF(ISNUMBER(tblTx[[#This Row],[Date]]),INT((DAY(tblTx[[#This Row],[Date]])-1)/7)+1,"")</f>
        <v/>
      </c>
      <c r="J176" s="34" t="str">
        <f>IF(ISNUMBER(tblTx[[#This Row],[Amount]]),IF(tblTx[[#This Row],[Type]]="Income",tblTx[[#This Row],[Amount]],IF(tblTx[[#This Row],[Type]]="Expense",-tblTx[[#This Row],[Amount]],0)),"")</f>
        <v/>
      </c>
      <c r="K176" s="35" t="str">
        <f>IF(AND(tblTx[[#This Row],[Type]]="Expense",ISNUMBER(tblTx[[#This Row],[Amount]]),ISNUMBER(tblTx[[#This Row],[Date]])),IF(AND(tblTx[[#This Row],[Date]]&gt;=StartDate,tblTx[[#This Row],[Date]]&lt;=EndDate),tblTx[[#This Row],[Amount]]-ROW()/10^7,""),"")</f>
        <v/>
      </c>
    </row>
    <row r="177">
      <c r="A177" s="32" t="n"/>
      <c r="B177" s="26" t="n"/>
      <c r="C177" s="24" t="n"/>
      <c r="D177" s="24" t="n"/>
      <c r="E177" s="25" t="n"/>
      <c r="F177" s="24" t="n"/>
      <c r="G177" s="24" t="n"/>
      <c r="H177" s="33" t="str">
        <f>IF(ISNUMBER(tblTx[[#This Row],[Date]]),DAY(tblTx[[#This Row],[Date]]),"")</f>
        <v/>
      </c>
      <c r="I177" s="33" t="str">
        <f>IF(ISNUMBER(tblTx[[#This Row],[Date]]),INT((DAY(tblTx[[#This Row],[Date]])-1)/7)+1,"")</f>
        <v/>
      </c>
      <c r="J177" s="34" t="str">
        <f>IF(ISNUMBER(tblTx[[#This Row],[Amount]]),IF(tblTx[[#This Row],[Type]]="Income",tblTx[[#This Row],[Amount]],IF(tblTx[[#This Row],[Type]]="Expense",-tblTx[[#This Row],[Amount]],0)),"")</f>
        <v/>
      </c>
      <c r="K177" s="35" t="str">
        <f>IF(AND(tblTx[[#This Row],[Type]]="Expense",ISNUMBER(tblTx[[#This Row],[Amount]]),ISNUMBER(tblTx[[#This Row],[Date]])),IF(AND(tblTx[[#This Row],[Date]]&gt;=StartDate,tblTx[[#This Row],[Date]]&lt;=EndDate),tblTx[[#This Row],[Amount]]-ROW()/10^7,""),"")</f>
        <v/>
      </c>
    </row>
    <row r="178">
      <c r="A178" s="32" t="n"/>
      <c r="B178" s="26" t="n"/>
      <c r="C178" s="24" t="n"/>
      <c r="D178" s="24" t="n"/>
      <c r="E178" s="25" t="n"/>
      <c r="F178" s="24" t="n"/>
      <c r="G178" s="24" t="n"/>
      <c r="H178" s="33" t="str">
        <f>IF(ISNUMBER(tblTx[[#This Row],[Date]]),DAY(tblTx[[#This Row],[Date]]),"")</f>
        <v/>
      </c>
      <c r="I178" s="33" t="str">
        <f>IF(ISNUMBER(tblTx[[#This Row],[Date]]),INT((DAY(tblTx[[#This Row],[Date]])-1)/7)+1,"")</f>
        <v/>
      </c>
      <c r="J178" s="34" t="str">
        <f>IF(ISNUMBER(tblTx[[#This Row],[Amount]]),IF(tblTx[[#This Row],[Type]]="Income",tblTx[[#This Row],[Amount]],IF(tblTx[[#This Row],[Type]]="Expense",-tblTx[[#This Row],[Amount]],0)),"")</f>
        <v/>
      </c>
      <c r="K178" s="35" t="str">
        <f>IF(AND(tblTx[[#This Row],[Type]]="Expense",ISNUMBER(tblTx[[#This Row],[Amount]]),ISNUMBER(tblTx[[#This Row],[Date]])),IF(AND(tblTx[[#This Row],[Date]]&gt;=StartDate,tblTx[[#This Row],[Date]]&lt;=EndDate),tblTx[[#This Row],[Amount]]-ROW()/10^7,""),"")</f>
        <v/>
      </c>
    </row>
    <row r="179">
      <c r="A179" s="32" t="n"/>
      <c r="B179" s="26" t="n"/>
      <c r="C179" s="24" t="n"/>
      <c r="D179" s="24" t="n"/>
      <c r="E179" s="25" t="n"/>
      <c r="F179" s="24" t="n"/>
      <c r="G179" s="24" t="n"/>
      <c r="H179" s="33" t="str">
        <f>IF(ISNUMBER(tblTx[[#This Row],[Date]]),DAY(tblTx[[#This Row],[Date]]),"")</f>
        <v/>
      </c>
      <c r="I179" s="33" t="str">
        <f>IF(ISNUMBER(tblTx[[#This Row],[Date]]),INT((DAY(tblTx[[#This Row],[Date]])-1)/7)+1,"")</f>
        <v/>
      </c>
      <c r="J179" s="34" t="str">
        <f>IF(ISNUMBER(tblTx[[#This Row],[Amount]]),IF(tblTx[[#This Row],[Type]]="Income",tblTx[[#This Row],[Amount]],IF(tblTx[[#This Row],[Type]]="Expense",-tblTx[[#This Row],[Amount]],0)),"")</f>
        <v/>
      </c>
      <c r="K179" s="35" t="str">
        <f>IF(AND(tblTx[[#This Row],[Type]]="Expense",ISNUMBER(tblTx[[#This Row],[Amount]]),ISNUMBER(tblTx[[#This Row],[Date]])),IF(AND(tblTx[[#This Row],[Date]]&gt;=StartDate,tblTx[[#This Row],[Date]]&lt;=EndDate),tblTx[[#This Row],[Amount]]-ROW()/10^7,""),"")</f>
        <v/>
      </c>
    </row>
    <row r="180">
      <c r="A180" s="32" t="n"/>
      <c r="B180" s="26" t="n"/>
      <c r="C180" s="24" t="n"/>
      <c r="D180" s="24" t="n"/>
      <c r="E180" s="25" t="n"/>
      <c r="F180" s="24" t="n"/>
      <c r="G180" s="24" t="n"/>
      <c r="H180" s="33" t="str">
        <f>IF(ISNUMBER(tblTx[[#This Row],[Date]]),DAY(tblTx[[#This Row],[Date]]),"")</f>
        <v/>
      </c>
      <c r="I180" s="33" t="str">
        <f>IF(ISNUMBER(tblTx[[#This Row],[Date]]),INT((DAY(tblTx[[#This Row],[Date]])-1)/7)+1,"")</f>
        <v/>
      </c>
      <c r="J180" s="34" t="str">
        <f>IF(ISNUMBER(tblTx[[#This Row],[Amount]]),IF(tblTx[[#This Row],[Type]]="Income",tblTx[[#This Row],[Amount]],IF(tblTx[[#This Row],[Type]]="Expense",-tblTx[[#This Row],[Amount]],0)),"")</f>
        <v/>
      </c>
      <c r="K180" s="35" t="str">
        <f>IF(AND(tblTx[[#This Row],[Type]]="Expense",ISNUMBER(tblTx[[#This Row],[Amount]]),ISNUMBER(tblTx[[#This Row],[Date]])),IF(AND(tblTx[[#This Row],[Date]]&gt;=StartDate,tblTx[[#This Row],[Date]]&lt;=EndDate),tblTx[[#This Row],[Amount]]-ROW()/10^7,""),"")</f>
        <v/>
      </c>
    </row>
    <row r="181">
      <c r="A181" s="32" t="n"/>
      <c r="B181" s="26" t="n"/>
      <c r="C181" s="24" t="n"/>
      <c r="D181" s="24" t="n"/>
      <c r="E181" s="25" t="n"/>
      <c r="F181" s="24" t="n"/>
      <c r="G181" s="24" t="n"/>
      <c r="H181" s="33" t="str">
        <f>IF(ISNUMBER(tblTx[[#This Row],[Date]]),DAY(tblTx[[#This Row],[Date]]),"")</f>
        <v/>
      </c>
      <c r="I181" s="33" t="str">
        <f>IF(ISNUMBER(tblTx[[#This Row],[Date]]),INT((DAY(tblTx[[#This Row],[Date]])-1)/7)+1,"")</f>
        <v/>
      </c>
      <c r="J181" s="34" t="str">
        <f>IF(ISNUMBER(tblTx[[#This Row],[Amount]]),IF(tblTx[[#This Row],[Type]]="Income",tblTx[[#This Row],[Amount]],IF(tblTx[[#This Row],[Type]]="Expense",-tblTx[[#This Row],[Amount]],0)),"")</f>
        <v/>
      </c>
      <c r="K181" s="35" t="str">
        <f>IF(AND(tblTx[[#This Row],[Type]]="Expense",ISNUMBER(tblTx[[#This Row],[Amount]]),ISNUMBER(tblTx[[#This Row],[Date]])),IF(AND(tblTx[[#This Row],[Date]]&gt;=StartDate,tblTx[[#This Row],[Date]]&lt;=EndDate),tblTx[[#This Row],[Amount]]-ROW()/10^7,""),"")</f>
        <v/>
      </c>
    </row>
    <row r="182">
      <c r="A182" s="32" t="n"/>
      <c r="B182" s="26" t="n"/>
      <c r="C182" s="24" t="n"/>
      <c r="D182" s="24" t="n"/>
      <c r="E182" s="25" t="n"/>
      <c r="F182" s="24" t="n"/>
      <c r="G182" s="24" t="n"/>
      <c r="H182" s="33" t="str">
        <f>IF(ISNUMBER(tblTx[[#This Row],[Date]]),DAY(tblTx[[#This Row],[Date]]),"")</f>
        <v/>
      </c>
      <c r="I182" s="33" t="str">
        <f>IF(ISNUMBER(tblTx[[#This Row],[Date]]),INT((DAY(tblTx[[#This Row],[Date]])-1)/7)+1,"")</f>
        <v/>
      </c>
      <c r="J182" s="34" t="str">
        <f>IF(ISNUMBER(tblTx[[#This Row],[Amount]]),IF(tblTx[[#This Row],[Type]]="Income",tblTx[[#This Row],[Amount]],IF(tblTx[[#This Row],[Type]]="Expense",-tblTx[[#This Row],[Amount]],0)),"")</f>
        <v/>
      </c>
      <c r="K182" s="35" t="str">
        <f>IF(AND(tblTx[[#This Row],[Type]]="Expense",ISNUMBER(tblTx[[#This Row],[Amount]]),ISNUMBER(tblTx[[#This Row],[Date]])),IF(AND(tblTx[[#This Row],[Date]]&gt;=StartDate,tblTx[[#This Row],[Date]]&lt;=EndDate),tblTx[[#This Row],[Amount]]-ROW()/10^7,""),"")</f>
        <v/>
      </c>
    </row>
    <row r="183">
      <c r="A183" s="32" t="n"/>
      <c r="B183" s="26" t="n"/>
      <c r="C183" s="24" t="n"/>
      <c r="D183" s="24" t="n"/>
      <c r="E183" s="25" t="n"/>
      <c r="F183" s="24" t="n"/>
      <c r="G183" s="24" t="n"/>
      <c r="H183" s="33" t="str">
        <f>IF(ISNUMBER(tblTx[[#This Row],[Date]]),DAY(tblTx[[#This Row],[Date]]),"")</f>
        <v/>
      </c>
      <c r="I183" s="33" t="str">
        <f>IF(ISNUMBER(tblTx[[#This Row],[Date]]),INT((DAY(tblTx[[#This Row],[Date]])-1)/7)+1,"")</f>
        <v/>
      </c>
      <c r="J183" s="34" t="str">
        <f>IF(ISNUMBER(tblTx[[#This Row],[Amount]]),IF(tblTx[[#This Row],[Type]]="Income",tblTx[[#This Row],[Amount]],IF(tblTx[[#This Row],[Type]]="Expense",-tblTx[[#This Row],[Amount]],0)),"")</f>
        <v/>
      </c>
      <c r="K183" s="35" t="str">
        <f>IF(AND(tblTx[[#This Row],[Type]]="Expense",ISNUMBER(tblTx[[#This Row],[Amount]]),ISNUMBER(tblTx[[#This Row],[Date]])),IF(AND(tblTx[[#This Row],[Date]]&gt;=StartDate,tblTx[[#This Row],[Date]]&lt;=EndDate),tblTx[[#This Row],[Amount]]-ROW()/10^7,""),"")</f>
        <v/>
      </c>
    </row>
    <row r="184">
      <c r="A184" s="32" t="n"/>
      <c r="B184" s="26" t="n"/>
      <c r="C184" s="24" t="n"/>
      <c r="D184" s="24" t="n"/>
      <c r="E184" s="25" t="n"/>
      <c r="F184" s="24" t="n"/>
      <c r="G184" s="24" t="n"/>
      <c r="H184" s="33" t="str">
        <f>IF(ISNUMBER(tblTx[[#This Row],[Date]]),DAY(tblTx[[#This Row],[Date]]),"")</f>
        <v/>
      </c>
      <c r="I184" s="33" t="str">
        <f>IF(ISNUMBER(tblTx[[#This Row],[Date]]),INT((DAY(tblTx[[#This Row],[Date]])-1)/7)+1,"")</f>
        <v/>
      </c>
      <c r="J184" s="34" t="str">
        <f>IF(ISNUMBER(tblTx[[#This Row],[Amount]]),IF(tblTx[[#This Row],[Type]]="Income",tblTx[[#This Row],[Amount]],IF(tblTx[[#This Row],[Type]]="Expense",-tblTx[[#This Row],[Amount]],0)),"")</f>
        <v/>
      </c>
      <c r="K184" s="35" t="str">
        <f>IF(AND(tblTx[[#This Row],[Type]]="Expense",ISNUMBER(tblTx[[#This Row],[Amount]]),ISNUMBER(tblTx[[#This Row],[Date]])),IF(AND(tblTx[[#This Row],[Date]]&gt;=StartDate,tblTx[[#This Row],[Date]]&lt;=EndDate),tblTx[[#This Row],[Amount]]-ROW()/10^7,""),"")</f>
        <v/>
      </c>
    </row>
    <row r="185">
      <c r="A185" s="32" t="n"/>
      <c r="B185" s="26" t="n"/>
      <c r="C185" s="24" t="n"/>
      <c r="D185" s="24" t="n"/>
      <c r="E185" s="25" t="n"/>
      <c r="F185" s="24" t="n"/>
      <c r="G185" s="24" t="n"/>
      <c r="H185" s="33" t="str">
        <f>IF(ISNUMBER(tblTx[[#This Row],[Date]]),DAY(tblTx[[#This Row],[Date]]),"")</f>
        <v/>
      </c>
      <c r="I185" s="33" t="str">
        <f>IF(ISNUMBER(tblTx[[#This Row],[Date]]),INT((DAY(tblTx[[#This Row],[Date]])-1)/7)+1,"")</f>
        <v/>
      </c>
      <c r="J185" s="34" t="str">
        <f>IF(ISNUMBER(tblTx[[#This Row],[Amount]]),IF(tblTx[[#This Row],[Type]]="Income",tblTx[[#This Row],[Amount]],IF(tblTx[[#This Row],[Type]]="Expense",-tblTx[[#This Row],[Amount]],0)),"")</f>
        <v/>
      </c>
      <c r="K185" s="35" t="str">
        <f>IF(AND(tblTx[[#This Row],[Type]]="Expense",ISNUMBER(tblTx[[#This Row],[Amount]]),ISNUMBER(tblTx[[#This Row],[Date]])),IF(AND(tblTx[[#This Row],[Date]]&gt;=StartDate,tblTx[[#This Row],[Date]]&lt;=EndDate),tblTx[[#This Row],[Amount]]-ROW()/10^7,""),"")</f>
        <v/>
      </c>
    </row>
    <row r="186">
      <c r="A186" s="32" t="n"/>
      <c r="B186" s="26" t="n"/>
      <c r="C186" s="24" t="n"/>
      <c r="D186" s="24" t="n"/>
      <c r="E186" s="25" t="n"/>
      <c r="F186" s="24" t="n"/>
      <c r="G186" s="24" t="n"/>
      <c r="H186" s="33" t="str">
        <f>IF(ISNUMBER(tblTx[[#This Row],[Date]]),DAY(tblTx[[#This Row],[Date]]),"")</f>
        <v/>
      </c>
      <c r="I186" s="33" t="str">
        <f>IF(ISNUMBER(tblTx[[#This Row],[Date]]),INT((DAY(tblTx[[#This Row],[Date]])-1)/7)+1,"")</f>
        <v/>
      </c>
      <c r="J186" s="34" t="str">
        <f>IF(ISNUMBER(tblTx[[#This Row],[Amount]]),IF(tblTx[[#This Row],[Type]]="Income",tblTx[[#This Row],[Amount]],IF(tblTx[[#This Row],[Type]]="Expense",-tblTx[[#This Row],[Amount]],0)),"")</f>
        <v/>
      </c>
      <c r="K186" s="35" t="str">
        <f>IF(AND(tblTx[[#This Row],[Type]]="Expense",ISNUMBER(tblTx[[#This Row],[Amount]]),ISNUMBER(tblTx[[#This Row],[Date]])),IF(AND(tblTx[[#This Row],[Date]]&gt;=StartDate,tblTx[[#This Row],[Date]]&lt;=EndDate),tblTx[[#This Row],[Amount]]-ROW()/10^7,""),"")</f>
        <v/>
      </c>
    </row>
    <row r="187">
      <c r="A187" s="32" t="n"/>
      <c r="B187" s="26" t="n"/>
      <c r="C187" s="24" t="n"/>
      <c r="D187" s="24" t="n"/>
      <c r="E187" s="25" t="n"/>
      <c r="F187" s="24" t="n"/>
      <c r="G187" s="24" t="n"/>
      <c r="H187" s="33" t="str">
        <f>IF(ISNUMBER(tblTx[[#This Row],[Date]]),DAY(tblTx[[#This Row],[Date]]),"")</f>
        <v/>
      </c>
      <c r="I187" s="33" t="str">
        <f>IF(ISNUMBER(tblTx[[#This Row],[Date]]),INT((DAY(tblTx[[#This Row],[Date]])-1)/7)+1,"")</f>
        <v/>
      </c>
      <c r="J187" s="34" t="str">
        <f>IF(ISNUMBER(tblTx[[#This Row],[Amount]]),IF(tblTx[[#This Row],[Type]]="Income",tblTx[[#This Row],[Amount]],IF(tblTx[[#This Row],[Type]]="Expense",-tblTx[[#This Row],[Amount]],0)),"")</f>
        <v/>
      </c>
      <c r="K187" s="35" t="str">
        <f>IF(AND(tblTx[[#This Row],[Type]]="Expense",ISNUMBER(tblTx[[#This Row],[Amount]]),ISNUMBER(tblTx[[#This Row],[Date]])),IF(AND(tblTx[[#This Row],[Date]]&gt;=StartDate,tblTx[[#This Row],[Date]]&lt;=EndDate),tblTx[[#This Row],[Amount]]-ROW()/10^7,""),"")</f>
        <v/>
      </c>
    </row>
    <row r="188">
      <c r="A188" s="32" t="n"/>
      <c r="B188" s="26" t="n"/>
      <c r="C188" s="24" t="n"/>
      <c r="D188" s="24" t="n"/>
      <c r="E188" s="25" t="n"/>
      <c r="F188" s="24" t="n"/>
      <c r="G188" s="24" t="n"/>
      <c r="H188" s="33" t="str">
        <f>IF(ISNUMBER(tblTx[[#This Row],[Date]]),DAY(tblTx[[#This Row],[Date]]),"")</f>
        <v/>
      </c>
      <c r="I188" s="33" t="str">
        <f>IF(ISNUMBER(tblTx[[#This Row],[Date]]),INT((DAY(tblTx[[#This Row],[Date]])-1)/7)+1,"")</f>
        <v/>
      </c>
      <c r="J188" s="34" t="str">
        <f>IF(ISNUMBER(tblTx[[#This Row],[Amount]]),IF(tblTx[[#This Row],[Type]]="Income",tblTx[[#This Row],[Amount]],IF(tblTx[[#This Row],[Type]]="Expense",-tblTx[[#This Row],[Amount]],0)),"")</f>
        <v/>
      </c>
      <c r="K188" s="35" t="str">
        <f>IF(AND(tblTx[[#This Row],[Type]]="Expense",ISNUMBER(tblTx[[#This Row],[Amount]]),ISNUMBER(tblTx[[#This Row],[Date]])),IF(AND(tblTx[[#This Row],[Date]]&gt;=StartDate,tblTx[[#This Row],[Date]]&lt;=EndDate),tblTx[[#This Row],[Amount]]-ROW()/10^7,""),"")</f>
        <v/>
      </c>
    </row>
    <row r="189">
      <c r="A189" s="32" t="n"/>
      <c r="B189" s="26" t="n"/>
      <c r="C189" s="24" t="n"/>
      <c r="D189" s="24" t="n"/>
      <c r="E189" s="25" t="n"/>
      <c r="F189" s="24" t="n"/>
      <c r="G189" s="24" t="n"/>
      <c r="H189" s="33" t="str">
        <f>IF(ISNUMBER(tblTx[[#This Row],[Date]]),DAY(tblTx[[#This Row],[Date]]),"")</f>
        <v/>
      </c>
      <c r="I189" s="33" t="str">
        <f>IF(ISNUMBER(tblTx[[#This Row],[Date]]),INT((DAY(tblTx[[#This Row],[Date]])-1)/7)+1,"")</f>
        <v/>
      </c>
      <c r="J189" s="34" t="str">
        <f>IF(ISNUMBER(tblTx[[#This Row],[Amount]]),IF(tblTx[[#This Row],[Type]]="Income",tblTx[[#This Row],[Amount]],IF(tblTx[[#This Row],[Type]]="Expense",-tblTx[[#This Row],[Amount]],0)),"")</f>
        <v/>
      </c>
      <c r="K189" s="35" t="str">
        <f>IF(AND(tblTx[[#This Row],[Type]]="Expense",ISNUMBER(tblTx[[#This Row],[Amount]]),ISNUMBER(tblTx[[#This Row],[Date]])),IF(AND(tblTx[[#This Row],[Date]]&gt;=StartDate,tblTx[[#This Row],[Date]]&lt;=EndDate),tblTx[[#This Row],[Amount]]-ROW()/10^7,""),"")</f>
        <v/>
      </c>
    </row>
    <row r="190">
      <c r="A190" s="32" t="n"/>
      <c r="B190" s="26" t="n"/>
      <c r="C190" s="24" t="n"/>
      <c r="D190" s="24" t="n"/>
      <c r="E190" s="25" t="n"/>
      <c r="F190" s="24" t="n"/>
      <c r="G190" s="24" t="n"/>
      <c r="H190" s="33" t="str">
        <f>IF(ISNUMBER(tblTx[[#This Row],[Date]]),DAY(tblTx[[#This Row],[Date]]),"")</f>
        <v/>
      </c>
      <c r="I190" s="33" t="str">
        <f>IF(ISNUMBER(tblTx[[#This Row],[Date]]),INT((DAY(tblTx[[#This Row],[Date]])-1)/7)+1,"")</f>
        <v/>
      </c>
      <c r="J190" s="34" t="str">
        <f>IF(ISNUMBER(tblTx[[#This Row],[Amount]]),IF(tblTx[[#This Row],[Type]]="Income",tblTx[[#This Row],[Amount]],IF(tblTx[[#This Row],[Type]]="Expense",-tblTx[[#This Row],[Amount]],0)),"")</f>
        <v/>
      </c>
      <c r="K190" s="35" t="str">
        <f>IF(AND(tblTx[[#This Row],[Type]]="Expense",ISNUMBER(tblTx[[#This Row],[Amount]]),ISNUMBER(tblTx[[#This Row],[Date]])),IF(AND(tblTx[[#This Row],[Date]]&gt;=StartDate,tblTx[[#This Row],[Date]]&lt;=EndDate),tblTx[[#This Row],[Amount]]-ROW()/10^7,""),"")</f>
        <v/>
      </c>
    </row>
    <row r="191">
      <c r="A191" s="32" t="n"/>
      <c r="B191" s="26" t="n"/>
      <c r="C191" s="24" t="n"/>
      <c r="D191" s="24" t="n"/>
      <c r="E191" s="25" t="n"/>
      <c r="F191" s="24" t="n"/>
      <c r="G191" s="24" t="n"/>
      <c r="H191" s="33" t="str">
        <f>IF(ISNUMBER(tblTx[[#This Row],[Date]]),DAY(tblTx[[#This Row],[Date]]),"")</f>
        <v/>
      </c>
      <c r="I191" s="33" t="str">
        <f>IF(ISNUMBER(tblTx[[#This Row],[Date]]),INT((DAY(tblTx[[#This Row],[Date]])-1)/7)+1,"")</f>
        <v/>
      </c>
      <c r="J191" s="34" t="str">
        <f>IF(ISNUMBER(tblTx[[#This Row],[Amount]]),IF(tblTx[[#This Row],[Type]]="Income",tblTx[[#This Row],[Amount]],IF(tblTx[[#This Row],[Type]]="Expense",-tblTx[[#This Row],[Amount]],0)),"")</f>
        <v/>
      </c>
      <c r="K191" s="35" t="str">
        <f>IF(AND(tblTx[[#This Row],[Type]]="Expense",ISNUMBER(tblTx[[#This Row],[Amount]]),ISNUMBER(tblTx[[#This Row],[Date]])),IF(AND(tblTx[[#This Row],[Date]]&gt;=StartDate,tblTx[[#This Row],[Date]]&lt;=EndDate),tblTx[[#This Row],[Amount]]-ROW()/10^7,""),"")</f>
        <v/>
      </c>
    </row>
    <row r="192">
      <c r="A192" s="32" t="n"/>
      <c r="B192" s="26" t="n"/>
      <c r="C192" s="24" t="n"/>
      <c r="D192" s="24" t="n"/>
      <c r="E192" s="25" t="n"/>
      <c r="F192" s="24" t="n"/>
      <c r="G192" s="24" t="n"/>
      <c r="H192" s="33" t="str">
        <f>IF(ISNUMBER(tblTx[[#This Row],[Date]]),DAY(tblTx[[#This Row],[Date]]),"")</f>
        <v/>
      </c>
      <c r="I192" s="33" t="str">
        <f>IF(ISNUMBER(tblTx[[#This Row],[Date]]),INT((DAY(tblTx[[#This Row],[Date]])-1)/7)+1,"")</f>
        <v/>
      </c>
      <c r="J192" s="34" t="str">
        <f>IF(ISNUMBER(tblTx[[#This Row],[Amount]]),IF(tblTx[[#This Row],[Type]]="Income",tblTx[[#This Row],[Amount]],IF(tblTx[[#This Row],[Type]]="Expense",-tblTx[[#This Row],[Amount]],0)),"")</f>
        <v/>
      </c>
      <c r="K192" s="35" t="str">
        <f>IF(AND(tblTx[[#This Row],[Type]]="Expense",ISNUMBER(tblTx[[#This Row],[Amount]]),ISNUMBER(tblTx[[#This Row],[Date]])),IF(AND(tblTx[[#This Row],[Date]]&gt;=StartDate,tblTx[[#This Row],[Date]]&lt;=EndDate),tblTx[[#This Row],[Amount]]-ROW()/10^7,""),"")</f>
        <v/>
      </c>
    </row>
    <row r="193">
      <c r="A193" s="32" t="n"/>
      <c r="B193" s="26" t="n"/>
      <c r="C193" s="24" t="n"/>
      <c r="D193" s="24" t="n"/>
      <c r="E193" s="25" t="n"/>
      <c r="F193" s="24" t="n"/>
      <c r="G193" s="24" t="n"/>
      <c r="H193" s="33" t="str">
        <f>IF(ISNUMBER(tblTx[[#This Row],[Date]]),DAY(tblTx[[#This Row],[Date]]),"")</f>
        <v/>
      </c>
      <c r="I193" s="33" t="str">
        <f>IF(ISNUMBER(tblTx[[#This Row],[Date]]),INT((DAY(tblTx[[#This Row],[Date]])-1)/7)+1,"")</f>
        <v/>
      </c>
      <c r="J193" s="34" t="str">
        <f>IF(ISNUMBER(tblTx[[#This Row],[Amount]]),IF(tblTx[[#This Row],[Type]]="Income",tblTx[[#This Row],[Amount]],IF(tblTx[[#This Row],[Type]]="Expense",-tblTx[[#This Row],[Amount]],0)),"")</f>
        <v/>
      </c>
      <c r="K193" s="35" t="str">
        <f>IF(AND(tblTx[[#This Row],[Type]]="Expense",ISNUMBER(tblTx[[#This Row],[Amount]]),ISNUMBER(tblTx[[#This Row],[Date]])),IF(AND(tblTx[[#This Row],[Date]]&gt;=StartDate,tblTx[[#This Row],[Date]]&lt;=EndDate),tblTx[[#This Row],[Amount]]-ROW()/10^7,""),"")</f>
        <v/>
      </c>
    </row>
    <row r="194">
      <c r="A194" s="32" t="n"/>
      <c r="B194" s="26" t="n"/>
      <c r="C194" s="24" t="n"/>
      <c r="D194" s="24" t="n"/>
      <c r="E194" s="25" t="n"/>
      <c r="F194" s="24" t="n"/>
      <c r="G194" s="24" t="n"/>
      <c r="H194" s="33" t="str">
        <f>IF(ISNUMBER(tblTx[[#This Row],[Date]]),DAY(tblTx[[#This Row],[Date]]),"")</f>
        <v/>
      </c>
      <c r="I194" s="33" t="str">
        <f>IF(ISNUMBER(tblTx[[#This Row],[Date]]),INT((DAY(tblTx[[#This Row],[Date]])-1)/7)+1,"")</f>
        <v/>
      </c>
      <c r="J194" s="34" t="str">
        <f>IF(ISNUMBER(tblTx[[#This Row],[Amount]]),IF(tblTx[[#This Row],[Type]]="Income",tblTx[[#This Row],[Amount]],IF(tblTx[[#This Row],[Type]]="Expense",-tblTx[[#This Row],[Amount]],0)),"")</f>
        <v/>
      </c>
      <c r="K194" s="35" t="str">
        <f>IF(AND(tblTx[[#This Row],[Type]]="Expense",ISNUMBER(tblTx[[#This Row],[Amount]]),ISNUMBER(tblTx[[#This Row],[Date]])),IF(AND(tblTx[[#This Row],[Date]]&gt;=StartDate,tblTx[[#This Row],[Date]]&lt;=EndDate),tblTx[[#This Row],[Amount]]-ROW()/10^7,""),"")</f>
        <v/>
      </c>
    </row>
    <row r="195">
      <c r="A195" s="32" t="n"/>
      <c r="B195" s="26" t="n"/>
      <c r="C195" s="24" t="n"/>
      <c r="D195" s="24" t="n"/>
      <c r="E195" s="25" t="n"/>
      <c r="F195" s="24" t="n"/>
      <c r="G195" s="24" t="n"/>
      <c r="H195" s="33" t="str">
        <f>IF(ISNUMBER(tblTx[[#This Row],[Date]]),DAY(tblTx[[#This Row],[Date]]),"")</f>
        <v/>
      </c>
      <c r="I195" s="33" t="str">
        <f>IF(ISNUMBER(tblTx[[#This Row],[Date]]),INT((DAY(tblTx[[#This Row],[Date]])-1)/7)+1,"")</f>
        <v/>
      </c>
      <c r="J195" s="34" t="str">
        <f>IF(ISNUMBER(tblTx[[#This Row],[Amount]]),IF(tblTx[[#This Row],[Type]]="Income",tblTx[[#This Row],[Amount]],IF(tblTx[[#This Row],[Type]]="Expense",-tblTx[[#This Row],[Amount]],0)),"")</f>
        <v/>
      </c>
      <c r="K195" s="35" t="str">
        <f>IF(AND(tblTx[[#This Row],[Type]]="Expense",ISNUMBER(tblTx[[#This Row],[Amount]]),ISNUMBER(tblTx[[#This Row],[Date]])),IF(AND(tblTx[[#This Row],[Date]]&gt;=StartDate,tblTx[[#This Row],[Date]]&lt;=EndDate),tblTx[[#This Row],[Amount]]-ROW()/10^7,""),"")</f>
        <v/>
      </c>
    </row>
    <row r="196">
      <c r="A196" s="32" t="n"/>
      <c r="B196" s="26" t="n"/>
      <c r="C196" s="24" t="n"/>
      <c r="D196" s="24" t="n"/>
      <c r="E196" s="25" t="n"/>
      <c r="F196" s="24" t="n"/>
      <c r="G196" s="24" t="n"/>
      <c r="H196" s="33" t="str">
        <f>IF(ISNUMBER(tblTx[[#This Row],[Date]]),DAY(tblTx[[#This Row],[Date]]),"")</f>
        <v/>
      </c>
      <c r="I196" s="33" t="str">
        <f>IF(ISNUMBER(tblTx[[#This Row],[Date]]),INT((DAY(tblTx[[#This Row],[Date]])-1)/7)+1,"")</f>
        <v/>
      </c>
      <c r="J196" s="34" t="str">
        <f>IF(ISNUMBER(tblTx[[#This Row],[Amount]]),IF(tblTx[[#This Row],[Type]]="Income",tblTx[[#This Row],[Amount]],IF(tblTx[[#This Row],[Type]]="Expense",-tblTx[[#This Row],[Amount]],0)),"")</f>
        <v/>
      </c>
      <c r="K196" s="35" t="str">
        <f>IF(AND(tblTx[[#This Row],[Type]]="Expense",ISNUMBER(tblTx[[#This Row],[Amount]]),ISNUMBER(tblTx[[#This Row],[Date]])),IF(AND(tblTx[[#This Row],[Date]]&gt;=StartDate,tblTx[[#This Row],[Date]]&lt;=EndDate),tblTx[[#This Row],[Amount]]-ROW()/10^7,""),"")</f>
        <v/>
      </c>
    </row>
    <row r="197">
      <c r="A197" s="32" t="n"/>
      <c r="B197" s="26" t="n"/>
      <c r="C197" s="24" t="n"/>
      <c r="D197" s="24" t="n"/>
      <c r="E197" s="25" t="n"/>
      <c r="F197" s="24" t="n"/>
      <c r="G197" s="24" t="n"/>
      <c r="H197" s="33" t="str">
        <f>IF(ISNUMBER(tblTx[[#This Row],[Date]]),DAY(tblTx[[#This Row],[Date]]),"")</f>
        <v/>
      </c>
      <c r="I197" s="33" t="str">
        <f>IF(ISNUMBER(tblTx[[#This Row],[Date]]),INT((DAY(tblTx[[#This Row],[Date]])-1)/7)+1,"")</f>
        <v/>
      </c>
      <c r="J197" s="34" t="str">
        <f>IF(ISNUMBER(tblTx[[#This Row],[Amount]]),IF(tblTx[[#This Row],[Type]]="Income",tblTx[[#This Row],[Amount]],IF(tblTx[[#This Row],[Type]]="Expense",-tblTx[[#This Row],[Amount]],0)),"")</f>
        <v/>
      </c>
      <c r="K197" s="35" t="str">
        <f>IF(AND(tblTx[[#This Row],[Type]]="Expense",ISNUMBER(tblTx[[#This Row],[Amount]]),ISNUMBER(tblTx[[#This Row],[Date]])),IF(AND(tblTx[[#This Row],[Date]]&gt;=StartDate,tblTx[[#This Row],[Date]]&lt;=EndDate),tblTx[[#This Row],[Amount]]-ROW()/10^7,""),"")</f>
        <v/>
      </c>
    </row>
    <row r="198">
      <c r="A198" s="32" t="n"/>
      <c r="B198" s="26" t="n"/>
      <c r="C198" s="24" t="n"/>
      <c r="D198" s="24" t="n"/>
      <c r="E198" s="25" t="n"/>
      <c r="F198" s="24" t="n"/>
      <c r="G198" s="24" t="n"/>
      <c r="H198" s="33" t="str">
        <f>IF(ISNUMBER(tblTx[[#This Row],[Date]]),DAY(tblTx[[#This Row],[Date]]),"")</f>
        <v/>
      </c>
      <c r="I198" s="33" t="str">
        <f>IF(ISNUMBER(tblTx[[#This Row],[Date]]),INT((DAY(tblTx[[#This Row],[Date]])-1)/7)+1,"")</f>
        <v/>
      </c>
      <c r="J198" s="34" t="str">
        <f>IF(ISNUMBER(tblTx[[#This Row],[Amount]]),IF(tblTx[[#This Row],[Type]]="Income",tblTx[[#This Row],[Amount]],IF(tblTx[[#This Row],[Type]]="Expense",-tblTx[[#This Row],[Amount]],0)),"")</f>
        <v/>
      </c>
      <c r="K198" s="35" t="str">
        <f>IF(AND(tblTx[[#This Row],[Type]]="Expense",ISNUMBER(tblTx[[#This Row],[Amount]]),ISNUMBER(tblTx[[#This Row],[Date]])),IF(AND(tblTx[[#This Row],[Date]]&gt;=StartDate,tblTx[[#This Row],[Date]]&lt;=EndDate),tblTx[[#This Row],[Amount]]-ROW()/10^7,""),"")</f>
        <v/>
      </c>
    </row>
    <row r="199">
      <c r="A199" s="32" t="n"/>
      <c r="B199" s="26" t="n"/>
      <c r="C199" s="24" t="n"/>
      <c r="D199" s="24" t="n"/>
      <c r="E199" s="25" t="n"/>
      <c r="F199" s="24" t="n"/>
      <c r="G199" s="24" t="n"/>
      <c r="H199" s="33" t="str">
        <f>IF(ISNUMBER(tblTx[[#This Row],[Date]]),DAY(tblTx[[#This Row],[Date]]),"")</f>
        <v/>
      </c>
      <c r="I199" s="33" t="str">
        <f>IF(ISNUMBER(tblTx[[#This Row],[Date]]),INT((DAY(tblTx[[#This Row],[Date]])-1)/7)+1,"")</f>
        <v/>
      </c>
      <c r="J199" s="34" t="str">
        <f>IF(ISNUMBER(tblTx[[#This Row],[Amount]]),IF(tblTx[[#This Row],[Type]]="Income",tblTx[[#This Row],[Amount]],IF(tblTx[[#This Row],[Type]]="Expense",-tblTx[[#This Row],[Amount]],0)),"")</f>
        <v/>
      </c>
      <c r="K199" s="35" t="str">
        <f>IF(AND(tblTx[[#This Row],[Type]]="Expense",ISNUMBER(tblTx[[#This Row],[Amount]]),ISNUMBER(tblTx[[#This Row],[Date]])),IF(AND(tblTx[[#This Row],[Date]]&gt;=StartDate,tblTx[[#This Row],[Date]]&lt;=EndDate),tblTx[[#This Row],[Amount]]-ROW()/10^7,""),"")</f>
        <v/>
      </c>
    </row>
    <row r="200">
      <c r="A200" s="32" t="n"/>
      <c r="B200" s="26" t="n"/>
      <c r="C200" s="24" t="n"/>
      <c r="D200" s="24" t="n"/>
      <c r="E200" s="25" t="n"/>
      <c r="F200" s="24" t="n"/>
      <c r="G200" s="24" t="n"/>
      <c r="H200" s="33" t="str">
        <f>IF(ISNUMBER(tblTx[[#This Row],[Date]]),DAY(tblTx[[#This Row],[Date]]),"")</f>
        <v/>
      </c>
      <c r="I200" s="33" t="str">
        <f>IF(ISNUMBER(tblTx[[#This Row],[Date]]),INT((DAY(tblTx[[#This Row],[Date]])-1)/7)+1,"")</f>
        <v/>
      </c>
      <c r="J200" s="34" t="str">
        <f>IF(ISNUMBER(tblTx[[#This Row],[Amount]]),IF(tblTx[[#This Row],[Type]]="Income",tblTx[[#This Row],[Amount]],IF(tblTx[[#This Row],[Type]]="Expense",-tblTx[[#This Row],[Amount]],0)),"")</f>
        <v/>
      </c>
      <c r="K200" s="35" t="str">
        <f>IF(AND(tblTx[[#This Row],[Type]]="Expense",ISNUMBER(tblTx[[#This Row],[Amount]]),ISNUMBER(tblTx[[#This Row],[Date]])),IF(AND(tblTx[[#This Row],[Date]]&gt;=StartDate,tblTx[[#This Row],[Date]]&lt;=EndDate),tblTx[[#This Row],[Amount]]-ROW()/10^7,""),"")</f>
        <v/>
      </c>
    </row>
    <row r="201">
      <c r="A201" s="32" t="n"/>
      <c r="B201" s="26" t="n"/>
      <c r="C201" s="24" t="n"/>
      <c r="D201" s="24" t="n"/>
      <c r="E201" s="25" t="n"/>
      <c r="F201" s="24" t="n"/>
      <c r="G201" s="24" t="n"/>
      <c r="H201" s="33" t="str">
        <f>IF(ISNUMBER(tblTx[[#This Row],[Date]]),DAY(tblTx[[#This Row],[Date]]),"")</f>
        <v/>
      </c>
      <c r="I201" s="33" t="str">
        <f>IF(ISNUMBER(tblTx[[#This Row],[Date]]),INT((DAY(tblTx[[#This Row],[Date]])-1)/7)+1,"")</f>
        <v/>
      </c>
      <c r="J201" s="34" t="str">
        <f>IF(ISNUMBER(tblTx[[#This Row],[Amount]]),IF(tblTx[[#This Row],[Type]]="Income",tblTx[[#This Row],[Amount]],IF(tblTx[[#This Row],[Type]]="Expense",-tblTx[[#This Row],[Amount]],0)),"")</f>
        <v/>
      </c>
      <c r="K201" s="35" t="str">
        <f>IF(AND(tblTx[[#This Row],[Type]]="Expense",ISNUMBER(tblTx[[#This Row],[Amount]]),ISNUMBER(tblTx[[#This Row],[Date]])),IF(AND(tblTx[[#This Row],[Date]]&gt;=StartDate,tblTx[[#This Row],[Date]]&lt;=EndDate),tblTx[[#This Row],[Amount]]-ROW()/10^7,""),"")</f>
        <v/>
      </c>
    </row>
    <row r="202">
      <c r="A202" s="32" t="n"/>
      <c r="B202" s="26" t="n"/>
      <c r="C202" s="24" t="n"/>
      <c r="D202" s="24" t="n"/>
      <c r="E202" s="25" t="n"/>
      <c r="F202" s="24" t="n"/>
      <c r="G202" s="24" t="n"/>
      <c r="H202" s="33" t="str">
        <f>IF(ISNUMBER(tblTx[[#This Row],[Date]]),DAY(tblTx[[#This Row],[Date]]),"")</f>
        <v/>
      </c>
      <c r="I202" s="33" t="str">
        <f>IF(ISNUMBER(tblTx[[#This Row],[Date]]),INT((DAY(tblTx[[#This Row],[Date]])-1)/7)+1,"")</f>
        <v/>
      </c>
      <c r="J202" s="34" t="str">
        <f>IF(ISNUMBER(tblTx[[#This Row],[Amount]]),IF(tblTx[[#This Row],[Type]]="Income",tblTx[[#This Row],[Amount]],IF(tblTx[[#This Row],[Type]]="Expense",-tblTx[[#This Row],[Amount]],0)),"")</f>
        <v/>
      </c>
      <c r="K202" s="35" t="str">
        <f>IF(AND(tblTx[[#This Row],[Type]]="Expense",ISNUMBER(tblTx[[#This Row],[Amount]]),ISNUMBER(tblTx[[#This Row],[Date]])),IF(AND(tblTx[[#This Row],[Date]]&gt;=StartDate,tblTx[[#This Row],[Date]]&lt;=EndDate),tblTx[[#This Row],[Amount]]-ROW()/10^7,""),"")</f>
        <v/>
      </c>
    </row>
    <row r="203">
      <c r="A203" s="32" t="n"/>
      <c r="B203" s="26" t="n"/>
      <c r="C203" s="24" t="n"/>
      <c r="D203" s="24" t="n"/>
      <c r="E203" s="25" t="n"/>
      <c r="F203" s="24" t="n"/>
      <c r="G203" s="24" t="n"/>
      <c r="H203" s="33" t="str">
        <f>IF(ISNUMBER(tblTx[[#This Row],[Date]]),DAY(tblTx[[#This Row],[Date]]),"")</f>
        <v/>
      </c>
      <c r="I203" s="33" t="str">
        <f>IF(ISNUMBER(tblTx[[#This Row],[Date]]),INT((DAY(tblTx[[#This Row],[Date]])-1)/7)+1,"")</f>
        <v/>
      </c>
      <c r="J203" s="34" t="str">
        <f>IF(ISNUMBER(tblTx[[#This Row],[Amount]]),IF(tblTx[[#This Row],[Type]]="Income",tblTx[[#This Row],[Amount]],IF(tblTx[[#This Row],[Type]]="Expense",-tblTx[[#This Row],[Amount]],0)),"")</f>
        <v/>
      </c>
      <c r="K203" s="35" t="str">
        <f>IF(AND(tblTx[[#This Row],[Type]]="Expense",ISNUMBER(tblTx[[#This Row],[Amount]]),ISNUMBER(tblTx[[#This Row],[Date]])),IF(AND(tblTx[[#This Row],[Date]]&gt;=StartDate,tblTx[[#This Row],[Date]]&lt;=EndDate),tblTx[[#This Row],[Amount]]-ROW()/10^7,""),"")</f>
        <v/>
      </c>
    </row>
    <row r="204">
      <c r="A204" s="32" t="n"/>
      <c r="B204" s="26" t="n"/>
      <c r="C204" s="24" t="n"/>
      <c r="D204" s="24" t="n"/>
      <c r="E204" s="25" t="n"/>
      <c r="F204" s="24" t="n"/>
      <c r="G204" s="24" t="n"/>
      <c r="H204" s="33" t="str">
        <f>IF(ISNUMBER(tblTx[[#This Row],[Date]]),DAY(tblTx[[#This Row],[Date]]),"")</f>
        <v/>
      </c>
      <c r="I204" s="33" t="str">
        <f>IF(ISNUMBER(tblTx[[#This Row],[Date]]),INT((DAY(tblTx[[#This Row],[Date]])-1)/7)+1,"")</f>
        <v/>
      </c>
      <c r="J204" s="34" t="str">
        <f>IF(ISNUMBER(tblTx[[#This Row],[Amount]]),IF(tblTx[[#This Row],[Type]]="Income",tblTx[[#This Row],[Amount]],IF(tblTx[[#This Row],[Type]]="Expense",-tblTx[[#This Row],[Amount]],0)),"")</f>
        <v/>
      </c>
      <c r="K204" s="35" t="str">
        <f>IF(AND(tblTx[[#This Row],[Type]]="Expense",ISNUMBER(tblTx[[#This Row],[Amount]]),ISNUMBER(tblTx[[#This Row],[Date]])),IF(AND(tblTx[[#This Row],[Date]]&gt;=StartDate,tblTx[[#This Row],[Date]]&lt;=EndDate),tblTx[[#This Row],[Amount]]-ROW()/10^7,""),"")</f>
        <v/>
      </c>
    </row>
  </sheetData>
  <mergeCells count="1">
    <mergeCell ref="A3:G3"/>
  </mergeCells>
  <dataValidations count="5">
    <dataValidation sqref="A5:A2000" showDropDown="0" showInputMessage="1" showErrorMessage="1" allowBlank="1" errorTitle="Date outside this month" error="This date is not in the month you are tracking. Use a date between the month start and end shown on the Setup sheet (or change the month on Setup)." promptTitle="Date" prompt="A date inside the month set on the Setup sheet." type="date" operator="between">
      <formula1>StartDate</formula1>
      <formula2>EndDate</formula2>
    </dataValidation>
    <dataValidation sqref="B5:B2000" showDropDown="0" showInputMessage="1" showErrorMessage="1" allowBlank="1" errorTitle="Type" error="Choose Income or Expense from the list." promptTitle="Type" prompt="Income or Expense. Choose this first." type="list">
      <formula1>"Income,Expense"</formula1>
    </dataValidation>
    <dataValidation sqref="C5:C2000" showDropDown="0" showInputMessage="1" showErrorMessage="1" allowBlank="1" errorTitle="Category" error="Pick a category from the list. Add new ones on the Setup sheet." promptTitle="Category" prompt="Income → your income sources. Expense → your expense categories." type="list">
      <formula1>IF($B5="Income",IncomeSources,ExpenseCategories)</formula1>
    </dataValidation>
    <dataValidation sqref="E5:E2000" showDropDown="0" showInputMessage="1" showErrorMessage="1" allowBlank="1" errorTitle="Amount" error="Amount must be a positive number (no minus sign). Type decides whether it is money in or out." promptTitle="Amount" prompt="Positive number. No minus sign needed." type="decimal" operator="greaterThan">
      <formula1>0</formula1>
    </dataValidation>
    <dataValidation sqref="F5:F2000" showDropDown="0" showInputMessage="1" showErrorMessage="1" allowBlank="1" errorTitle="Payment method" error="Pick a method from the list. Add new ones on the Setup sheet." type="list">
      <formula1>PaymentMethods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001C5CAB"/>
    <outlinePr summaryBelow="1" summaryRight="1"/>
    <pageSetUpPr fitToPage="1"/>
  </sheetPr>
  <dimension ref="A2:P80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4" customWidth="1" min="2" max="2"/>
    <col width="12" customWidth="1" min="3" max="3"/>
    <col width="16" customWidth="1" min="4" max="4"/>
    <col width="13" customWidth="1" min="5" max="5"/>
    <col width="13" customWidth="1" min="6" max="6"/>
    <col width="10" customWidth="1" min="7" max="7"/>
    <col width="16" customWidth="1" min="8" max="8"/>
    <col width="3" customWidth="1" min="9" max="9"/>
    <col width="6" customWidth="1" min="10" max="10"/>
    <col width="20" customWidth="1" min="11" max="11"/>
    <col width="13" customWidth="1" min="12" max="12"/>
    <col width="10" customWidth="1" min="13" max="13"/>
    <col width="12" customWidth="1" min="14" max="14"/>
    <col width="12" customWidth="1" min="15" max="15"/>
    <col hidden="1" width="10" customWidth="1" min="16" max="16"/>
  </cols>
  <sheetData>
    <row r="2" ht="30" customHeight="1">
      <c r="B2" s="36" t="inlineStr">
        <is>
          <t>Monthly Budget Dashboard</t>
        </is>
      </c>
    </row>
    <row r="3">
      <c r="B3" s="37">
        <f>StartDate</f>
        <v>46327</v>
      </c>
      <c r="C3" s="38">
        <f>StartDate</f>
        <v>46327</v>
      </c>
      <c r="E3" s="39">
        <f>EndDate</f>
        <v>46356</v>
      </c>
      <c r="K3" s="17" t="inlineStr">
        <is>
          <t>Updates automatically. Nothing to type on this sheet.</t>
        </is>
      </c>
    </row>
    <row r="4" ht="5" customHeight="1">
      <c r="B4" s="40" t="n"/>
      <c r="C4" s="41" t="n"/>
      <c r="D4" s="42" t="n"/>
      <c r="E4" s="41" t="n"/>
      <c r="F4" s="42" t="n"/>
      <c r="G4" s="41" t="n"/>
      <c r="H4" s="42" t="n"/>
      <c r="J4" s="41" t="n"/>
      <c r="K4" s="42" t="n"/>
      <c r="L4" s="41" t="n"/>
      <c r="M4" s="42" t="n"/>
      <c r="N4" s="41" t="n"/>
      <c r="O4" s="42" t="n"/>
    </row>
    <row r="5" ht="20" customHeight="1">
      <c r="B5" s="43" t="inlineStr">
        <is>
          <t>TOTAL INCOME</t>
        </is>
      </c>
      <c r="C5" s="44" t="inlineStr">
        <is>
          <t>TOTAL EXPENSES</t>
        </is>
      </c>
      <c r="D5" s="45" t="n"/>
      <c r="E5" s="44" t="inlineStr">
        <is>
          <t>NET BALANCE</t>
        </is>
      </c>
      <c r="F5" s="45" t="n"/>
      <c r="G5" s="44" t="inlineStr">
        <is>
          <t>% OF INCOME SPENT</t>
        </is>
      </c>
      <c r="H5" s="45" t="n"/>
      <c r="J5" s="44" t="inlineStr">
        <is>
          <t>DAYS LEFT IN MONTH</t>
        </is>
      </c>
      <c r="K5" s="45" t="n"/>
      <c r="L5" s="44" t="inlineStr">
        <is>
          <t>AVG DAILY SPEND</t>
        </is>
      </c>
      <c r="M5" s="45" t="n"/>
      <c r="N5" s="44" t="inlineStr">
        <is>
          <t>PROJECTED MONTH-END</t>
        </is>
      </c>
      <c r="O5" s="45" t="n"/>
    </row>
    <row r="6" ht="34" customHeight="1">
      <c r="B6" s="46" t="str">
        <f>IF(B8&lt;0,"-","")&amp;CurSym&amp;FIXED(ABS(B8),2)</f>
        <v>$5,150.00</v>
      </c>
      <c r="C6" s="47" t="str">
        <f>IF(C8&lt;0,"-","")&amp;CurSym&amp;FIXED(ABS(C8),2)</f>
        <v>$3,444.01</v>
      </c>
      <c r="D6" s="45" t="n"/>
      <c r="E6" s="47" t="str">
        <f>IF(E8&lt;0,"-","")&amp;CurSym&amp;FIXED(ABS(E8),2)</f>
        <v>$1,705.99</v>
      </c>
      <c r="F6" s="45" t="n"/>
      <c r="G6" s="47" t="str">
        <f>IF(B8&gt;0,FIXED(G8*100,1)&amp;"%","—")</f>
        <v>66.9%</v>
      </c>
      <c r="H6" s="45" t="n"/>
      <c r="J6" s="48">
        <f>J8</f>
        <v>30</v>
      </c>
      <c r="K6" s="45" t="n"/>
      <c r="L6" s="47" t="str">
        <f>IF(L8&lt;0,"-","")&amp;CurSym&amp;FIXED(ABS(L8),2)</f>
        <v>$114.80</v>
      </c>
      <c r="M6" s="45" t="n"/>
      <c r="N6" s="47" t="str">
        <f>IF(N8&lt;0,"-","")&amp;CurSym&amp;FIXED(ABS(N8),2)</f>
        <v>$1,705.99</v>
      </c>
      <c r="O6" s="45" t="n"/>
    </row>
    <row r="7" ht="18" customHeight="1">
      <c r="B7" s="49" t="str">
        <f>"Expected: "&amp;IF(ExpectedIncome&lt;0,"-","")&amp;CurSym&amp;FIXED(ABS(ExpectedIncome),2)</f>
        <v>Expected: $5,300.00</v>
      </c>
      <c r="C7" s="50" t="str">
        <f>"Budget: "&amp;IF(TotalBudget&lt;0,"-","")&amp;CurSym&amp;FIXED(ABS(TotalBudget),2)</f>
        <v>Budget: $4,305.00</v>
      </c>
      <c r="D7" s="45" t="n"/>
      <c r="E7" s="50" t="str">
        <f>IF(E8&lt;0,"You spent more than you earned","Income minus expenses")</f>
        <v>Income minus expenses</v>
      </c>
      <c r="F7" s="45" t="n"/>
      <c r="G7" s="50" t="str">
        <f>IF(B8=0,"No income logged yet",IF(G8&gt;1,"Spending exceeds income","of this month's income"))</f>
        <v>of this month's income</v>
      </c>
      <c r="H7" s="45" t="n"/>
      <c r="J7" s="50" t="str">
        <f>"of "&amp;DaysInMonth&amp;" days"</f>
        <v>of 30 days</v>
      </c>
      <c r="K7" s="45" t="n"/>
      <c r="L7" s="50" t="str">
        <f>"Over "&amp;M8&amp;IF(M8=1," day"," days")</f>
        <v>Over 30 days</v>
      </c>
      <c r="M7" s="45" t="n"/>
      <c r="N7" s="50" t="str">
        <f>"If spending continues at this pace"</f>
        <v>If spending continues at this pace</v>
      </c>
      <c r="O7" s="45" t="n"/>
    </row>
    <row r="8" hidden="1">
      <c r="A8" s="8" t="inlineStr">
        <is>
          <t>calc</t>
        </is>
      </c>
      <c r="B8" s="51">
        <f>SUMIFS(tblTx[Amount],tblTx[Type],"Income",tblTx[Date],"&gt;="&amp;StartDate,tblTx[Date],"&lt;="&amp;EndDate)</f>
        <v>5150</v>
      </c>
      <c r="C8" s="51">
        <f>SUMIFS(tblTx[Amount],tblTx[Type],"Expense",tblTx[Date],"&gt;="&amp;StartDate,tblTx[Date],"&lt;="&amp;EndDate)</f>
        <v>3444.01</v>
      </c>
      <c r="E8" s="51">
        <f>B8-C8</f>
        <v>1705.99</v>
      </c>
      <c r="G8" s="51">
        <f>IF(B8&gt;0,C8/B8,"")</f>
        <v>0.668739805825243</v>
      </c>
      <c r="J8" s="51">
        <f>IF(TODAY()&lt;StartDate,DaysInMonth,MAX(0,EndDate-TODAY()))</f>
        <v>30</v>
      </c>
      <c r="L8" s="51">
        <f>IFERROR(C8/M8,0)</f>
        <v>114.800333333333</v>
      </c>
      <c r="M8" s="52">
        <f>IF(OR(TODAY()&lt;StartDate,TODAY()&gt;EndDate),DaysInMonth,TODAY()-StartDate+1)</f>
        <v>30</v>
      </c>
      <c r="N8" s="51">
        <f>B8-L8*DaysInMonth</f>
        <v>1705.99</v>
      </c>
    </row>
    <row r="10" ht="22" customHeight="1">
      <c r="B10" s="53" t="inlineStr">
        <is>
          <t>Budget vs Actual by category</t>
        </is>
      </c>
    </row>
    <row r="11">
      <c r="B11" s="54" t="inlineStr">
        <is>
          <t>Category</t>
        </is>
      </c>
      <c r="C11" s="54" t="inlineStr">
        <is>
          <t>Type</t>
        </is>
      </c>
      <c r="D11" s="54" t="str">
        <f>"Budget ("&amp;CurSym&amp;")"</f>
        <v>Budget ($)</v>
      </c>
      <c r="E11" s="54" t="str">
        <f>"Spent ("&amp;CurSym&amp;")"</f>
        <v>Spent ($)</v>
      </c>
      <c r="F11" s="54" t="str">
        <f>"Remaining ("&amp;CurSym&amp;")"</f>
        <v>Remaining ($)</v>
      </c>
      <c r="G11" s="54" t="inlineStr">
        <is>
          <t>% Used</t>
        </is>
      </c>
      <c r="H11" s="54" t="inlineStr">
        <is>
          <t>Progress</t>
        </is>
      </c>
    </row>
    <row r="12">
      <c r="B12" s="55" t="str">
        <f>IFERROR(IF(INDEX(tblCategories[Category],1)="","",INDEX(tblCategories[Category],1)),"")</f>
        <v>Rent</v>
      </c>
      <c r="C12" s="56" t="str">
        <f>IF(B12="","",IFERROR(INDEX(tblCategories[Type],1)&amp;"",""))</f>
        <v>Fixed</v>
      </c>
      <c r="D12" s="57">
        <f>IF(B12="","",N(INDEX(tblCategories[Monthly Budget],1)))</f>
        <v>1400</v>
      </c>
      <c r="E12" s="57">
        <f>IF(B12="","",SUMIFS(tblTx[Amount],tblTx[Type],"Expense",tblTx[Category],B12,tblTx[Date],"&gt;="&amp;StartDate,tblTx[Date],"&lt;="&amp;EndDate))</f>
        <v>1400</v>
      </c>
      <c r="F12" s="58">
        <f>IF(B12="","",D12-E12)</f>
        <v>0</v>
      </c>
      <c r="G12" s="59">
        <f>IF(B12="","",IF(D12&gt;0,E12/D12,IF(E12&gt;0,"No budget",0)))</f>
        <v>1</v>
      </c>
      <c r="H12" s="60">
        <f>IF(ISNUMBER(G12),MIN(G12,1),IF(G12="No budget",1,""))</f>
        <v>1</v>
      </c>
      <c r="P12" s="61">
        <f>IF(B12="",-1,E12+(21-1)/10^6)</f>
        <v>1400.00002</v>
      </c>
    </row>
    <row r="13">
      <c r="B13" s="55" t="str">
        <f>IFERROR(IF(INDEX(tblCategories[Category],2)="","",INDEX(tblCategories[Category],2)),"")</f>
        <v>Utilities</v>
      </c>
      <c r="C13" s="56" t="str">
        <f>IF(B13="","",IFERROR(INDEX(tblCategories[Type],2)&amp;"",""))</f>
        <v>Variable</v>
      </c>
      <c r="D13" s="57">
        <f>IF(B13="","",N(INDEX(tblCategories[Monthly Budget],2)))</f>
        <v>180</v>
      </c>
      <c r="E13" s="57">
        <f>IF(B13="","",SUMIFS(tblTx[Amount],tblTx[Type],"Expense",tblTx[Category],B13,tblTx[Date],"&gt;="&amp;StartDate,tblTx[Date],"&lt;="&amp;EndDate))</f>
        <v>96.3</v>
      </c>
      <c r="F13" s="58">
        <f>IF(B13="","",D13-E13)</f>
        <v>83.7</v>
      </c>
      <c r="G13" s="59">
        <f>IF(B13="","",IF(D13&gt;0,E13/D13,IF(E13&gt;0,"No budget",0)))</f>
        <v>0.535</v>
      </c>
      <c r="H13" s="60">
        <f>IF(ISNUMBER(G13),MIN(G13,1),IF(G13="No budget",1,""))</f>
        <v>0.535</v>
      </c>
      <c r="P13" s="61">
        <f>IF(B13="",-2,E13+(21-2)/10^6)</f>
        <v>96.300019</v>
      </c>
    </row>
    <row r="14">
      <c r="B14" s="55" t="str">
        <f>IFERROR(IF(INDEX(tblCategories[Category],3)="","",INDEX(tblCategories[Category],3)),"")</f>
        <v>Internet &amp; Phone</v>
      </c>
      <c r="C14" s="56" t="str">
        <f>IF(B14="","",IFERROR(INDEX(tblCategories[Type],3)&amp;"",""))</f>
        <v>Fixed</v>
      </c>
      <c r="D14" s="57">
        <f>IF(B14="","",N(INDEX(tblCategories[Monthly Budget],3)))</f>
        <v>90</v>
      </c>
      <c r="E14" s="57">
        <f>IF(B14="","",SUMIFS(tblTx[Amount],tblTx[Type],"Expense",tblTx[Category],B14,tblTx[Date],"&gt;="&amp;StartDate,tblTx[Date],"&lt;="&amp;EndDate))</f>
        <v>89.99</v>
      </c>
      <c r="F14" s="58">
        <f>IF(B14="","",D14-E14)</f>
        <v>0.0100000000000051</v>
      </c>
      <c r="G14" s="59">
        <f>IF(B14="","",IF(D14&gt;0,E14/D14,IF(E14&gt;0,"No budget",0)))</f>
        <v>0.999888888888889</v>
      </c>
      <c r="H14" s="60">
        <f>IF(ISNUMBER(G14),MIN(G14,1),IF(G14="No budget",1,""))</f>
        <v>0.999888888888889</v>
      </c>
      <c r="P14" s="61">
        <f>IF(B14="",-3,E14+(21-3)/10^6)</f>
        <v>89.990018</v>
      </c>
    </row>
    <row r="15">
      <c r="B15" s="55" t="str">
        <f>IFERROR(IF(INDEX(tblCategories[Category],4)="","",INDEX(tblCategories[Category],4)),"")</f>
        <v>Groceries</v>
      </c>
      <c r="C15" s="56" t="str">
        <f>IF(B15="","",IFERROR(INDEX(tblCategories[Type],4)&amp;"",""))</f>
        <v>Variable</v>
      </c>
      <c r="D15" s="57">
        <f>IF(B15="","",N(INDEX(tblCategories[Monthly Budget],4)))</f>
        <v>500</v>
      </c>
      <c r="E15" s="57">
        <f>IF(B15="","",SUMIFS(tblTx[Amount],tblTx[Type],"Expense",tblTx[Category],B15,tblTx[Date],"&gt;="&amp;StartDate,tblTx[Date],"&lt;="&amp;EndDate))</f>
        <v>332.45</v>
      </c>
      <c r="F15" s="58">
        <f>IF(B15="","",D15-E15)</f>
        <v>167.55</v>
      </c>
      <c r="G15" s="59">
        <f>IF(B15="","",IF(D15&gt;0,E15/D15,IF(E15&gt;0,"No budget",0)))</f>
        <v>0.6649</v>
      </c>
      <c r="H15" s="60">
        <f>IF(ISNUMBER(G15),MIN(G15,1),IF(G15="No budget",1,""))</f>
        <v>0.6649</v>
      </c>
      <c r="P15" s="61">
        <f>IF(B15="",-4,E15+(21-4)/10^6)</f>
        <v>332.450017</v>
      </c>
    </row>
    <row r="16">
      <c r="B16" s="55" t="str">
        <f>IFERROR(IF(INDEX(tblCategories[Category],5)="","",INDEX(tblCategories[Category],5)),"")</f>
        <v>Transport/Fuel</v>
      </c>
      <c r="C16" s="56" t="str">
        <f>IF(B16="","",IFERROR(INDEX(tblCategories[Type],5)&amp;"",""))</f>
        <v>Variable</v>
      </c>
      <c r="D16" s="57">
        <f>IF(B16="","",N(INDEX(tblCategories[Monthly Budget],5)))</f>
        <v>220</v>
      </c>
      <c r="E16" s="57">
        <f>IF(B16="","",SUMIFS(tblTx[Amount],tblTx[Type],"Expense",tblTx[Category],B16,tblTx[Date],"&gt;="&amp;StartDate,tblTx[Date],"&lt;="&amp;EndDate))</f>
        <v>100</v>
      </c>
      <c r="F16" s="58">
        <f>IF(B16="","",D16-E16)</f>
        <v>120</v>
      </c>
      <c r="G16" s="59">
        <f>IF(B16="","",IF(D16&gt;0,E16/D16,IF(E16&gt;0,"No budget",0)))</f>
        <v>0.454545454545455</v>
      </c>
      <c r="H16" s="60">
        <f>IF(ISNUMBER(G16),MIN(G16,1),IF(G16="No budget",1,""))</f>
        <v>0.454545454545455</v>
      </c>
      <c r="P16" s="61">
        <f>IF(B16="",-5,E16+(21-5)/10^6)</f>
        <v>100.000016</v>
      </c>
    </row>
    <row r="17">
      <c r="B17" s="55" t="str">
        <f>IFERROR(IF(INDEX(tblCategories[Category],6)="","",INDEX(tblCategories[Category],6)),"")</f>
        <v>Dining Out</v>
      </c>
      <c r="C17" s="56" t="str">
        <f>IF(B17="","",IFERROR(INDEX(tblCategories[Type],6)&amp;"",""))</f>
        <v>Variable</v>
      </c>
      <c r="D17" s="57">
        <f>IF(B17="","",N(INDEX(tblCategories[Monthly Budget],6)))</f>
        <v>200</v>
      </c>
      <c r="E17" s="57">
        <f>IF(B17="","",SUMIFS(tblTx[Amount],tblTx[Type],"Expense",tblTx[Category],B17,tblTx[Date],"&gt;="&amp;StartDate,tblTx[Date],"&lt;="&amp;EndDate))</f>
        <v>92.7</v>
      </c>
      <c r="F17" s="58">
        <f>IF(B17="","",D17-E17)</f>
        <v>107.3</v>
      </c>
      <c r="G17" s="59">
        <f>IF(B17="","",IF(D17&gt;0,E17/D17,IF(E17&gt;0,"No budget",0)))</f>
        <v>0.4635</v>
      </c>
      <c r="H17" s="60">
        <f>IF(ISNUMBER(G17),MIN(G17,1),IF(G17="No budget",1,""))</f>
        <v>0.4635</v>
      </c>
      <c r="P17" s="61">
        <f>IF(B17="",-6,E17+(21-6)/10^6)</f>
        <v>92.700015</v>
      </c>
    </row>
    <row r="18">
      <c r="B18" s="55" t="str">
        <f>IFERROR(IF(INDEX(tblCategories[Category],7)="","",INDEX(tblCategories[Category],7)),"")</f>
        <v>Health</v>
      </c>
      <c r="C18" s="56" t="str">
        <f>IF(B18="","",IFERROR(INDEX(tblCategories[Type],7)&amp;"",""))</f>
        <v>Variable</v>
      </c>
      <c r="D18" s="57">
        <f>IF(B18="","",N(INDEX(tblCategories[Monthly Budget],7)))</f>
        <v>100</v>
      </c>
      <c r="E18" s="57">
        <f>IF(B18="","",SUMIFS(tblTx[Amount],tblTx[Type],"Expense",tblTx[Category],B18,tblTx[Date],"&gt;="&amp;StartDate,tblTx[Date],"&lt;="&amp;EndDate))</f>
        <v>32.6</v>
      </c>
      <c r="F18" s="58">
        <f>IF(B18="","",D18-E18)</f>
        <v>67.4</v>
      </c>
      <c r="G18" s="59">
        <f>IF(B18="","",IF(D18&gt;0,E18/D18,IF(E18&gt;0,"No budget",0)))</f>
        <v>0.326</v>
      </c>
      <c r="H18" s="60">
        <f>IF(ISNUMBER(G18),MIN(G18,1),IF(G18="No budget",1,""))</f>
        <v>0.326</v>
      </c>
      <c r="P18" s="61">
        <f>IF(B18="",-7,E18+(21-7)/10^6)</f>
        <v>32.600014</v>
      </c>
    </row>
    <row r="19">
      <c r="B19" s="55" t="str">
        <f>IFERROR(IF(INDEX(tblCategories[Category],8)="","",INDEX(tblCategories[Category],8)),"")</f>
        <v>Shopping</v>
      </c>
      <c r="C19" s="56" t="str">
        <f>IF(B19="","",IFERROR(INDEX(tblCategories[Type],8)&amp;"",""))</f>
        <v>Variable</v>
      </c>
      <c r="D19" s="57">
        <f>IF(B19="","",N(INDEX(tblCategories[Monthly Budget],8)))</f>
        <v>200</v>
      </c>
      <c r="E19" s="57">
        <f>IF(B19="","",SUMIFS(tblTx[Amount],tblTx[Type],"Expense",tblTx[Category],B19,tblTx[Date],"&gt;="&amp;StartDate,tblTx[Date],"&lt;="&amp;EndDate))</f>
        <v>234.99</v>
      </c>
      <c r="F19" s="58">
        <f>IF(B19="","",D19-E19)</f>
        <v>-34.99</v>
      </c>
      <c r="G19" s="59">
        <f>IF(B19="","",IF(D19&gt;0,E19/D19,IF(E19&gt;0,"No budget",0)))</f>
        <v>1.17495</v>
      </c>
      <c r="H19" s="60">
        <f>IF(ISNUMBER(G19),MIN(G19,1),IF(G19="No budget",1,""))</f>
        <v>1</v>
      </c>
      <c r="P19" s="61">
        <f>IF(B19="",-8,E19+(21-8)/10^6)</f>
        <v>234.990013</v>
      </c>
    </row>
    <row r="20">
      <c r="B20" s="55" t="str">
        <f>IFERROR(IF(INDEX(tblCategories[Category],9)="","",INDEX(tblCategories[Category],9)),"")</f>
        <v>Entertainment</v>
      </c>
      <c r="C20" s="56" t="str">
        <f>IF(B20="","",IFERROR(INDEX(tblCategories[Type],9)&amp;"",""))</f>
        <v>Variable</v>
      </c>
      <c r="D20" s="57">
        <f>IF(B20="","",N(INDEX(tblCategories[Monthly Budget],9)))</f>
        <v>120</v>
      </c>
      <c r="E20" s="57">
        <f>IF(B20="","",SUMIFS(tblTx[Amount],tblTx[Type],"Expense",tblTx[Category],B20,tblTx[Date],"&gt;="&amp;StartDate,tblTx[Date],"&lt;="&amp;EndDate))</f>
        <v>30</v>
      </c>
      <c r="F20" s="58">
        <f>IF(B20="","",D20-E20)</f>
        <v>90</v>
      </c>
      <c r="G20" s="59">
        <f>IF(B20="","",IF(D20&gt;0,E20/D20,IF(E20&gt;0,"No budget",0)))</f>
        <v>0.25</v>
      </c>
      <c r="H20" s="60">
        <f>IF(ISNUMBER(G20),MIN(G20,1),IF(G20="No budget",1,""))</f>
        <v>0.25</v>
      </c>
      <c r="P20" s="61">
        <f>IF(B20="",-9,E20+(21-9)/10^6)</f>
        <v>30.000012</v>
      </c>
    </row>
    <row r="21">
      <c r="B21" s="55" t="str">
        <f>IFERROR(IF(INDEX(tblCategories[Category],10)="","",INDEX(tblCategories[Category],10)),"")</f>
        <v>Subscriptions</v>
      </c>
      <c r="C21" s="56" t="str">
        <f>IF(B21="","",IFERROR(INDEX(tblCategories[Type],10)&amp;"",""))</f>
        <v>Fixed</v>
      </c>
      <c r="D21" s="57">
        <f>IF(B21="","",N(INDEX(tblCategories[Monthly Budget],10)))</f>
        <v>45</v>
      </c>
      <c r="E21" s="57">
        <f>IF(B21="","",SUMIFS(tblTx[Amount],tblTx[Type],"Expense",tblTx[Category],B21,tblTx[Date],"&gt;="&amp;StartDate,tblTx[Date],"&lt;="&amp;EndDate))</f>
        <v>24.98</v>
      </c>
      <c r="F21" s="58">
        <f>IF(B21="","",D21-E21)</f>
        <v>20.02</v>
      </c>
      <c r="G21" s="59">
        <f>IF(B21="","",IF(D21&gt;0,E21/D21,IF(E21&gt;0,"No budget",0)))</f>
        <v>0.555111111111111</v>
      </c>
      <c r="H21" s="60">
        <f>IF(ISNUMBER(G21),MIN(G21,1),IF(G21="No budget",1,""))</f>
        <v>0.555111111111111</v>
      </c>
      <c r="P21" s="61">
        <f>IF(B21="",-10,E21+(21-10)/10^6)</f>
        <v>24.980011</v>
      </c>
    </row>
    <row r="22">
      <c r="B22" s="55" t="str">
        <f>IFERROR(IF(INDEX(tblCategories[Category],11)="","",INDEX(tblCategories[Category],11)),"")</f>
        <v>Education</v>
      </c>
      <c r="C22" s="56" t="str">
        <f>IF(B22="","",IFERROR(INDEX(tblCategories[Type],11)&amp;"",""))</f>
        <v>Fixed</v>
      </c>
      <c r="D22" s="57">
        <f>IF(B22="","",N(INDEX(tblCategories[Monthly Budget],11)))</f>
        <v>100</v>
      </c>
      <c r="E22" s="57">
        <f>IF(B22="","",SUMIFS(tblTx[Amount],tblTx[Type],"Expense",tblTx[Category],B22,tblTx[Date],"&gt;="&amp;StartDate,tblTx[Date],"&lt;="&amp;EndDate))</f>
        <v>0</v>
      </c>
      <c r="F22" s="58">
        <f>IF(B22="","",D22-E22)</f>
        <v>100</v>
      </c>
      <c r="G22" s="59">
        <f>IF(B22="","",IF(D22&gt;0,E22/D22,IF(E22&gt;0,"No budget",0)))</f>
        <v>0</v>
      </c>
      <c r="H22" s="60">
        <f>IF(ISNUMBER(G22),MIN(G22,1),IF(G22="No budget",1,""))</f>
        <v>0</v>
      </c>
      <c r="P22" s="61">
        <f>IF(B22="",-11,E22+(21-11)/10^6)</f>
        <v>1E-005</v>
      </c>
    </row>
    <row r="23">
      <c r="B23" s="55" t="str">
        <f>IFERROR(IF(INDEX(tblCategories[Category],12)="","",INDEX(tblCategories[Category],12)),"")</f>
        <v>Savings</v>
      </c>
      <c r="C23" s="56" t="str">
        <f>IF(B23="","",IFERROR(INDEX(tblCategories[Type],12)&amp;"",""))</f>
        <v>Fixed</v>
      </c>
      <c r="D23" s="57">
        <f>IF(B23="","",N(INDEX(tblCategories[Monthly Budget],12)))</f>
        <v>600</v>
      </c>
      <c r="E23" s="57">
        <f>IF(B23="","",SUMIFS(tblTx[Amount],tblTx[Type],"Expense",tblTx[Category],B23,tblTx[Date],"&gt;="&amp;StartDate,tblTx[Date],"&lt;="&amp;EndDate))</f>
        <v>600</v>
      </c>
      <c r="F23" s="58">
        <f>IF(B23="","",D23-E23)</f>
        <v>0</v>
      </c>
      <c r="G23" s="59">
        <f>IF(B23="","",IF(D23&gt;0,E23/D23,IF(E23&gt;0,"No budget",0)))</f>
        <v>1</v>
      </c>
      <c r="H23" s="60">
        <f>IF(ISNUMBER(G23),MIN(G23,1),IF(G23="No budget",1,""))</f>
        <v>1</v>
      </c>
      <c r="P23" s="61">
        <f>IF(B23="",-12,E23+(21-12)/10^6)</f>
        <v>600.000009</v>
      </c>
    </row>
    <row r="24">
      <c r="B24" s="55" t="str">
        <f>IFERROR(IF(INDEX(tblCategories[Category],13)="","",INDEX(tblCategories[Category],13)),"")</f>
        <v>Debt Payments</v>
      </c>
      <c r="C24" s="56" t="str">
        <f>IF(B24="","",IFERROR(INDEX(tblCategories[Type],13)&amp;"",""))</f>
        <v>Fixed</v>
      </c>
      <c r="D24" s="57">
        <f>IF(B24="","",N(INDEX(tblCategories[Monthly Budget],13)))</f>
        <v>350</v>
      </c>
      <c r="E24" s="57">
        <f>IF(B24="","",SUMIFS(tblTx[Amount],tblTx[Type],"Expense",tblTx[Category],B24,tblTx[Date],"&gt;="&amp;StartDate,tblTx[Date],"&lt;="&amp;EndDate))</f>
        <v>350</v>
      </c>
      <c r="F24" s="58">
        <f>IF(B24="","",D24-E24)</f>
        <v>0</v>
      </c>
      <c r="G24" s="59">
        <f>IF(B24="","",IF(D24&gt;0,E24/D24,IF(E24&gt;0,"No budget",0)))</f>
        <v>1</v>
      </c>
      <c r="H24" s="60">
        <f>IF(ISNUMBER(G24),MIN(G24,1),IF(G24="No budget",1,""))</f>
        <v>1</v>
      </c>
      <c r="P24" s="61">
        <f>IF(B24="",-13,E24+(21-13)/10^6)</f>
        <v>350.000008</v>
      </c>
    </row>
    <row r="25">
      <c r="B25" s="55" t="str">
        <f>IFERROR(IF(INDEX(tblCategories[Category],14)="","",INDEX(tblCategories[Category],14)),"")</f>
        <v>Gifts/Family</v>
      </c>
      <c r="C25" s="56" t="str">
        <f>IF(B25="","",IFERROR(INDEX(tblCategories[Type],14)&amp;"",""))</f>
        <v>Variable</v>
      </c>
      <c r="D25" s="57">
        <f>IF(B25="","",N(INDEX(tblCategories[Monthly Budget],14)))</f>
        <v>100</v>
      </c>
      <c r="E25" s="57">
        <f>IF(B25="","",SUMIFS(tblTx[Amount],tblTx[Type],"Expense",tblTx[Category],B25,tblTx[Date],"&gt;="&amp;StartDate,tblTx[Date],"&lt;="&amp;EndDate))</f>
        <v>60</v>
      </c>
      <c r="F25" s="58">
        <f>IF(B25="","",D25-E25)</f>
        <v>40</v>
      </c>
      <c r="G25" s="59">
        <f>IF(B25="","",IF(D25&gt;0,E25/D25,IF(E25&gt;0,"No budget",0)))</f>
        <v>0.6</v>
      </c>
      <c r="H25" s="60">
        <f>IF(ISNUMBER(G25),MIN(G25,1),IF(G25="No budget",1,""))</f>
        <v>0.6</v>
      </c>
      <c r="P25" s="61">
        <f>IF(B25="",-14,E25+(21-14)/10^6)</f>
        <v>60.000007</v>
      </c>
    </row>
    <row r="26">
      <c r="B26" s="55" t="str">
        <f>IFERROR(IF(INDEX(tblCategories[Category],15)="","",INDEX(tblCategories[Category],15)),"")</f>
        <v>Miscellaneous</v>
      </c>
      <c r="C26" s="56" t="str">
        <f>IF(B26="","",IFERROR(INDEX(tblCategories[Type],15)&amp;"",""))</f>
        <v>Variable</v>
      </c>
      <c r="D26" s="57">
        <f>IF(B26="","",N(INDEX(tblCategories[Monthly Budget],15)))</f>
        <v>100</v>
      </c>
      <c r="E26" s="57">
        <f>IF(B26="","",SUMIFS(tblTx[Amount],tblTx[Type],"Expense",tblTx[Category],B26,tblTx[Date],"&gt;="&amp;StartDate,tblTx[Date],"&lt;="&amp;EndDate))</f>
        <v>0</v>
      </c>
      <c r="F26" s="58">
        <f>IF(B26="","",D26-E26)</f>
        <v>100</v>
      </c>
      <c r="G26" s="59">
        <f>IF(B26="","",IF(D26&gt;0,E26/D26,IF(E26&gt;0,"No budget",0)))</f>
        <v>0</v>
      </c>
      <c r="H26" s="60">
        <f>IF(ISNUMBER(G26),MIN(G26,1),IF(G26="No budget",1,""))</f>
        <v>0</v>
      </c>
      <c r="P26" s="61">
        <f>IF(B26="",-15,E26+(21-15)/10^6)</f>
        <v>6E-006</v>
      </c>
    </row>
    <row r="27">
      <c r="B27" s="55" t="str">
        <f>IFERROR(IF(INDEX(tblCategories[Category],16)="","",INDEX(tblCategories[Category],16)),"")</f>
        <v/>
      </c>
      <c r="C27" s="56" t="str">
        <f>IF(B27="","",IFERROR(INDEX(tblCategories[Type],16)&amp;"",""))</f>
        <v/>
      </c>
      <c r="D27" s="57" t="str">
        <f>IF(B27="","",N(INDEX(tblCategories[Monthly Budget],16)))</f>
        <v/>
      </c>
      <c r="E27" s="57" t="str">
        <f>IF(B27="","",SUMIFS(tblTx[Amount],tblTx[Type],"Expense",tblTx[Category],B27,tblTx[Date],"&gt;="&amp;StartDate,tblTx[Date],"&lt;="&amp;EndDate))</f>
        <v/>
      </c>
      <c r="F27" s="58" t="str">
        <f>IF(B27="","",D27-E27)</f>
        <v/>
      </c>
      <c r="G27" s="59" t="str">
        <f>IF(B27="","",IF(D27&gt;0,E27/D27,IF(E27&gt;0,"No budget",0)))</f>
        <v/>
      </c>
      <c r="H27" s="60" t="str">
        <f>IF(ISNUMBER(G27),MIN(G27,1),IF(G27="No budget",1,""))</f>
        <v/>
      </c>
      <c r="P27" s="61">
        <f>IF(B27="",-16,E27+(21-16)/10^6)</f>
        <v>-16</v>
      </c>
    </row>
    <row r="28">
      <c r="B28" s="55" t="str">
        <f>IFERROR(IF(INDEX(tblCategories[Category],17)="","",INDEX(tblCategories[Category],17)),"")</f>
        <v/>
      </c>
      <c r="C28" s="56" t="str">
        <f>IF(B28="","",IFERROR(INDEX(tblCategories[Type],17)&amp;"",""))</f>
        <v/>
      </c>
      <c r="D28" s="57" t="str">
        <f>IF(B28="","",N(INDEX(tblCategories[Monthly Budget],17)))</f>
        <v/>
      </c>
      <c r="E28" s="57" t="str">
        <f>IF(B28="","",SUMIFS(tblTx[Amount],tblTx[Type],"Expense",tblTx[Category],B28,tblTx[Date],"&gt;="&amp;StartDate,tblTx[Date],"&lt;="&amp;EndDate))</f>
        <v/>
      </c>
      <c r="F28" s="58" t="str">
        <f>IF(B28="","",D28-E28)</f>
        <v/>
      </c>
      <c r="G28" s="59" t="str">
        <f>IF(B28="","",IF(D28&gt;0,E28/D28,IF(E28&gt;0,"No budget",0)))</f>
        <v/>
      </c>
      <c r="H28" s="60" t="str">
        <f>IF(ISNUMBER(G28),MIN(G28,1),IF(G28="No budget",1,""))</f>
        <v/>
      </c>
      <c r="P28" s="61">
        <f>IF(B28="",-17,E28+(21-17)/10^6)</f>
        <v>-17</v>
      </c>
    </row>
    <row r="29">
      <c r="B29" s="55" t="str">
        <f>IFERROR(IF(INDEX(tblCategories[Category],18)="","",INDEX(tblCategories[Category],18)),"")</f>
        <v/>
      </c>
      <c r="C29" s="56" t="str">
        <f>IF(B29="","",IFERROR(INDEX(tblCategories[Type],18)&amp;"",""))</f>
        <v/>
      </c>
      <c r="D29" s="57" t="str">
        <f>IF(B29="","",N(INDEX(tblCategories[Monthly Budget],18)))</f>
        <v/>
      </c>
      <c r="E29" s="57" t="str">
        <f>IF(B29="","",SUMIFS(tblTx[Amount],tblTx[Type],"Expense",tblTx[Category],B29,tblTx[Date],"&gt;="&amp;StartDate,tblTx[Date],"&lt;="&amp;EndDate))</f>
        <v/>
      </c>
      <c r="F29" s="58" t="str">
        <f>IF(B29="","",D29-E29)</f>
        <v/>
      </c>
      <c r="G29" s="59" t="str">
        <f>IF(B29="","",IF(D29&gt;0,E29/D29,IF(E29&gt;0,"No budget",0)))</f>
        <v/>
      </c>
      <c r="H29" s="60" t="str">
        <f>IF(ISNUMBER(G29),MIN(G29,1),IF(G29="No budget",1,""))</f>
        <v/>
      </c>
      <c r="P29" s="61">
        <f>IF(B29="",-18,E29+(21-18)/10^6)</f>
        <v>-18</v>
      </c>
    </row>
    <row r="30">
      <c r="B30" s="55" t="str">
        <f>IFERROR(IF(INDEX(tblCategories[Category],19)="","",INDEX(tblCategories[Category],19)),"")</f>
        <v/>
      </c>
      <c r="C30" s="56" t="str">
        <f>IF(B30="","",IFERROR(INDEX(tblCategories[Type],19)&amp;"",""))</f>
        <v/>
      </c>
      <c r="D30" s="57" t="str">
        <f>IF(B30="","",N(INDEX(tblCategories[Monthly Budget],19)))</f>
        <v/>
      </c>
      <c r="E30" s="57" t="str">
        <f>IF(B30="","",SUMIFS(tblTx[Amount],tblTx[Type],"Expense",tblTx[Category],B30,tblTx[Date],"&gt;="&amp;StartDate,tblTx[Date],"&lt;="&amp;EndDate))</f>
        <v/>
      </c>
      <c r="F30" s="58" t="str">
        <f>IF(B30="","",D30-E30)</f>
        <v/>
      </c>
      <c r="G30" s="59" t="str">
        <f>IF(B30="","",IF(D30&gt;0,E30/D30,IF(E30&gt;0,"No budget",0)))</f>
        <v/>
      </c>
      <c r="H30" s="60" t="str">
        <f>IF(ISNUMBER(G30),MIN(G30,1),IF(G30="No budget",1,""))</f>
        <v/>
      </c>
      <c r="P30" s="61">
        <f>IF(B30="",-19,E30+(21-19)/10^6)</f>
        <v>-19</v>
      </c>
    </row>
    <row r="31">
      <c r="B31" s="55" t="str">
        <f>IFERROR(IF(INDEX(tblCategories[Category],20)="","",INDEX(tblCategories[Category],20)),"")</f>
        <v/>
      </c>
      <c r="C31" s="56" t="str">
        <f>IF(B31="","",IFERROR(INDEX(tblCategories[Type],20)&amp;"",""))</f>
        <v/>
      </c>
      <c r="D31" s="57" t="str">
        <f>IF(B31="","",N(INDEX(tblCategories[Monthly Budget],20)))</f>
        <v/>
      </c>
      <c r="E31" s="57" t="str">
        <f>IF(B31="","",SUMIFS(tblTx[Amount],tblTx[Type],"Expense",tblTx[Category],B31,tblTx[Date],"&gt;="&amp;StartDate,tblTx[Date],"&lt;="&amp;EndDate))</f>
        <v/>
      </c>
      <c r="F31" s="58" t="str">
        <f>IF(B31="","",D31-E31)</f>
        <v/>
      </c>
      <c r="G31" s="59" t="str">
        <f>IF(B31="","",IF(D31&gt;0,E31/D31,IF(E31&gt;0,"No budget",0)))</f>
        <v/>
      </c>
      <c r="H31" s="60" t="str">
        <f>IF(ISNUMBER(G31),MIN(G31,1),IF(G31="No budget",1,""))</f>
        <v/>
      </c>
      <c r="P31" s="61">
        <f>IF(B31="",-20,E31+(21-20)/10^6)</f>
        <v>-20</v>
      </c>
    </row>
    <row r="32">
      <c r="B32" s="62" t="inlineStr">
        <is>
          <t>Total</t>
        </is>
      </c>
      <c r="C32" s="63" t="n"/>
      <c r="D32" s="64">
        <f>SUM(D12:D31)</f>
        <v>4305</v>
      </c>
      <c r="E32" s="64">
        <f>SUM(E12:E31)</f>
        <v>3444.01</v>
      </c>
      <c r="F32" s="65">
        <f>D32-E32</f>
        <v>860.99</v>
      </c>
      <c r="G32" s="66">
        <f>IF(D32&gt;0,E32/D32,"")</f>
        <v>0.800002322880372</v>
      </c>
      <c r="H32" s="67">
        <f>IF(ISNUMBER(G32),MIN(G32,1),"")</f>
        <v>0.800002322880372</v>
      </c>
    </row>
    <row r="33">
      <c r="B33" s="68" t="str">
        <f>IF(ABS(C8-E32)&gt;0.005,"Note: "&amp;IF(C8-E32&lt;0,"-","")&amp;CurSym&amp;FIXED(ABS(C8-E32),2)&amp;" of this month's expenses use a category that is not in the first 20 Setup categories. Check the Category column on Transactions.","")</f>
        <v/>
      </c>
    </row>
    <row r="35" ht="22" customHeight="1">
      <c r="B35" s="53" t="inlineStr">
        <is>
          <t>Where the money goes</t>
        </is>
      </c>
    </row>
    <row r="36">
      <c r="J36" s="54" t="inlineStr">
        <is>
          <t>#</t>
        </is>
      </c>
      <c r="K36" s="54" t="inlineStr">
        <is>
          <t>Category</t>
        </is>
      </c>
      <c r="L36" s="54" t="str">
        <f>"Spent ("&amp;CurSym&amp;")"</f>
        <v>Spent ($)</v>
      </c>
      <c r="M36" s="54" t="inlineStr">
        <is>
          <t>Share</t>
        </is>
      </c>
    </row>
    <row r="37">
      <c r="J37" s="56" t="n">
        <v>1</v>
      </c>
      <c r="K37" s="55" t="str">
        <f>IFERROR(INDEX($B$12:$B$31,MATCH(LARGE($P$12:$P$31,1),$P$12:$P$31,0)),"")</f>
        <v>Rent</v>
      </c>
      <c r="L37" s="57">
        <f>IF(K37="","",INDEX($E$12:$E$31,MATCH(LARGE($P$12:$P$31,1),$P$12:$P$31,0)))</f>
        <v>1400</v>
      </c>
      <c r="M37" s="69">
        <f>IF(K37="","",IFERROR(L37/$C$8,0))</f>
        <v>0.406502884718685</v>
      </c>
    </row>
    <row r="38">
      <c r="J38" s="56" t="n">
        <v>2</v>
      </c>
      <c r="K38" s="55" t="str">
        <f>IFERROR(INDEX($B$12:$B$31,MATCH(LARGE($P$12:$P$31,2),$P$12:$P$31,0)),"")</f>
        <v>Savings</v>
      </c>
      <c r="L38" s="57">
        <f>IF(K38="","",INDEX($E$12:$E$31,MATCH(LARGE($P$12:$P$31,2),$P$12:$P$31,0)))</f>
        <v>600</v>
      </c>
      <c r="M38" s="69">
        <f>IF(K38="","",IFERROR(L38/$C$8,0))</f>
        <v>0.174215522022294</v>
      </c>
    </row>
    <row r="39">
      <c r="J39" s="56" t="n">
        <v>3</v>
      </c>
      <c r="K39" s="55" t="str">
        <f>IFERROR(INDEX($B$12:$B$31,MATCH(LARGE($P$12:$P$31,3),$P$12:$P$31,0)),"")</f>
        <v>Debt Payments</v>
      </c>
      <c r="L39" s="57">
        <f>IF(K39="","",INDEX($E$12:$E$31,MATCH(LARGE($P$12:$P$31,3),$P$12:$P$31,0)))</f>
        <v>350</v>
      </c>
      <c r="M39" s="69">
        <f>IF(K39="","",IFERROR(L39/$C$8,0))</f>
        <v>0.101625721179671</v>
      </c>
    </row>
    <row r="40">
      <c r="J40" s="56" t="n">
        <v>4</v>
      </c>
      <c r="K40" s="55" t="str">
        <f>IFERROR(INDEX($B$12:$B$31,MATCH(LARGE($P$12:$P$31,4),$P$12:$P$31,0)),"")</f>
        <v>Groceries</v>
      </c>
      <c r="L40" s="57">
        <f>IF(K40="","",INDEX($E$12:$E$31,MATCH(LARGE($P$12:$P$31,4),$P$12:$P$31,0)))</f>
        <v>332.45</v>
      </c>
      <c r="M40" s="69">
        <f>IF(K40="","",IFERROR(L40/$C$8,0))</f>
        <v>0.0965299171605193</v>
      </c>
    </row>
    <row r="41">
      <c r="J41" s="56" t="n">
        <v>5</v>
      </c>
      <c r="K41" s="55" t="str">
        <f>IFERROR(INDEX($B$12:$B$31,MATCH(LARGE($P$12:$P$31,5),$P$12:$P$31,0)),"")</f>
        <v>Shopping</v>
      </c>
      <c r="L41" s="57">
        <f>IF(K41="","",INDEX($E$12:$E$31,MATCH(LARGE($P$12:$P$31,5),$P$12:$P$31,0)))</f>
        <v>234.99</v>
      </c>
      <c r="M41" s="69">
        <f>IF(K41="","",IFERROR(L41/$C$8,0))</f>
        <v>0.0682315092000314</v>
      </c>
    </row>
    <row r="42">
      <c r="J42" s="56" t="n">
        <v>6</v>
      </c>
      <c r="K42" s="55" t="str">
        <f>IFERROR(INDEX($B$12:$B$31,MATCH(LARGE($P$12:$P$31,6),$P$12:$P$31,0)),"")</f>
        <v>Transport/Fuel</v>
      </c>
      <c r="L42" s="57">
        <f>IF(K42="","",INDEX($E$12:$E$31,MATCH(LARGE($P$12:$P$31,6),$P$12:$P$31,0)))</f>
        <v>100</v>
      </c>
      <c r="M42" s="69">
        <f>IF(K42="","",IFERROR(L42/$C$8,0))</f>
        <v>0.029035920337049</v>
      </c>
    </row>
    <row r="43">
      <c r="J43" s="56" t="n">
        <v>7</v>
      </c>
      <c r="K43" s="55" t="str">
        <f>IFERROR(INDEX($B$12:$B$31,MATCH(LARGE($P$12:$P$31,7),$P$12:$P$31,0)),"")</f>
        <v>Utilities</v>
      </c>
      <c r="L43" s="57">
        <f>IF(K43="","",INDEX($E$12:$E$31,MATCH(LARGE($P$12:$P$31,7),$P$12:$P$31,0)))</f>
        <v>96.3</v>
      </c>
      <c r="M43" s="69">
        <f>IF(K43="","",IFERROR(L43/$C$8,0))</f>
        <v>0.0279615912845782</v>
      </c>
    </row>
    <row r="44">
      <c r="J44" s="55" t="n"/>
      <c r="K44" s="70" t="inlineStr">
        <is>
          <t>All other categories</t>
        </is>
      </c>
      <c r="L44" s="57">
        <f>MAX(0,$C$8-SUM(L37:L43))</f>
        <v>330.27</v>
      </c>
      <c r="M44" s="69">
        <f>IFERROR(L44/$C$8,0)</f>
        <v>0.0958969340971716</v>
      </c>
    </row>
    <row r="45">
      <c r="J45" s="63" t="n"/>
      <c r="K45" s="62" t="inlineStr">
        <is>
          <t>Total expenses</t>
        </is>
      </c>
      <c r="L45" s="64">
        <f>SUM(L37:L44)</f>
        <v>3444.01</v>
      </c>
      <c r="M45" s="71">
        <f>IFERROR(L45/$C$8,0)</f>
        <v>1</v>
      </c>
    </row>
    <row r="56" ht="22" customHeight="1">
      <c r="B56" s="53" t="inlineStr">
        <is>
          <t>Day by day</t>
        </is>
      </c>
    </row>
    <row r="74" ht="22" customHeight="1">
      <c r="B74" s="53" t="inlineStr">
        <is>
          <t>Top 5 biggest expenses this month</t>
        </is>
      </c>
    </row>
    <row r="75">
      <c r="B75" s="54" t="inlineStr">
        <is>
          <t>Description</t>
        </is>
      </c>
      <c r="C75" s="54" t="inlineStr">
        <is>
          <t>Date</t>
        </is>
      </c>
      <c r="D75" s="54" t="inlineStr">
        <is>
          <t>Category</t>
        </is>
      </c>
      <c r="E75" s="54" t="str">
        <f>"Amount ("&amp;CurSym&amp;")"</f>
        <v>Amount ($)</v>
      </c>
      <c r="F75" s="54" t="inlineStr">
        <is>
          <t>Payment</t>
        </is>
      </c>
      <c r="G75" s="54" t="inlineStr">
        <is>
          <t>Share</t>
        </is>
      </c>
    </row>
    <row r="76">
      <c r="B76" s="55" t="str">
        <f>IF($P76="","No expenses logged yet",IF(INDEX(tblTx[Description],$P76)="","(no description)",INDEX(tblTx[Description],$P76)))</f>
        <v>November rent</v>
      </c>
      <c r="C76" s="72">
        <f>IF($P76="","",INDEX(tblTx[Date],$P76))</f>
        <v>46327</v>
      </c>
      <c r="D76" s="55" t="str">
        <f>IF($P76="","",INDEX(tblTx[Category],$P76)&amp;"")</f>
        <v>Rent</v>
      </c>
      <c r="E76" s="73">
        <f>IF($P76="","",INDEX(tblTx[Amount],$P76))</f>
        <v>1400</v>
      </c>
      <c r="F76" s="74" t="str">
        <f>IF($P76="","",INDEX(tblTx[Payment Method],$P76)&amp;"")</f>
        <v>Bank Transfer</v>
      </c>
      <c r="G76" s="69">
        <f>IF($P76="","",IFERROR(E76/$C$8,0))</f>
        <v>0.406502884718685</v>
      </c>
      <c r="P76" s="52">
        <f>IFERROR(MATCH(LARGE(tblTx[Rank Key],1),tblTx[Rank Key],0),"")</f>
        <v>2</v>
      </c>
    </row>
    <row r="77">
      <c r="B77" s="55" t="str">
        <f>IF($P77="","",IF(INDEX(tblTx[Description],$P77)="","(no description)",INDEX(tblTx[Description],$P77)))</f>
        <v>Transfer to savings account</v>
      </c>
      <c r="C77" s="72">
        <f>IF($P77="","",INDEX(tblTx[Date],$P77))</f>
        <v>46334</v>
      </c>
      <c r="D77" s="55" t="str">
        <f>IF($P77="","",INDEX(tblTx[Category],$P77)&amp;"")</f>
        <v>Savings</v>
      </c>
      <c r="E77" s="73">
        <f>IF($P77="","",INDEX(tblTx[Amount],$P77))</f>
        <v>600</v>
      </c>
      <c r="F77" s="74" t="str">
        <f>IF($P77="","",INDEX(tblTx[Payment Method],$P77)&amp;"")</f>
        <v>Bank Transfer</v>
      </c>
      <c r="G77" s="69">
        <f>IF($P77="","",IFERROR(E77/$C$8,0))</f>
        <v>0.174215522022294</v>
      </c>
      <c r="P77" s="52">
        <f>IFERROR(MATCH(LARGE(tblTx[Rank Key],2),tblTx[Rank Key],0),"")</f>
        <v>9</v>
      </c>
    </row>
    <row r="78">
      <c r="B78" s="55" t="str">
        <f>IF($P78="","",IF(INDEX(tblTx[Description],$P78)="","(no description)",INDEX(tblTx[Description],$P78)))</f>
        <v>Credit card payment</v>
      </c>
      <c r="C78" s="72">
        <f>IF($P78="","",INDEX(tblTx[Date],$P78))</f>
        <v>46340</v>
      </c>
      <c r="D78" s="55" t="str">
        <f>IF($P78="","",INDEX(tblTx[Category],$P78)&amp;"")</f>
        <v>Debt Payments</v>
      </c>
      <c r="E78" s="73">
        <f>IF($P78="","",INDEX(tblTx[Amount],$P78))</f>
        <v>350</v>
      </c>
      <c r="F78" s="74" t="str">
        <f>IF($P78="","",INDEX(tblTx[Payment Method],$P78)&amp;"")</f>
        <v>Bank Transfer</v>
      </c>
      <c r="G78" s="69">
        <f>IF($P78="","",IFERROR(E78/$C$8,0))</f>
        <v>0.101625721179671</v>
      </c>
      <c r="P78" s="52">
        <f>IFERROR(MATCH(LARGE(tblTx[Rank Key],3),tblTx[Rank Key],0),"")</f>
        <v>14</v>
      </c>
    </row>
    <row r="79">
      <c r="B79" s="55" t="str">
        <f>IF($P79="","",IF(INDEX(tblTx[Description],$P79)="","(no description)",INDEX(tblTx[Description],$P79)))</f>
        <v>Winter jacket</v>
      </c>
      <c r="C79" s="72">
        <f>IF($P79="","",INDEX(tblTx[Date],$P79))</f>
        <v>46341</v>
      </c>
      <c r="D79" s="55" t="str">
        <f>IF($P79="","",INDEX(tblTx[Category],$P79)&amp;"")</f>
        <v>Shopping</v>
      </c>
      <c r="E79" s="73">
        <f>IF($P79="","",INDEX(tblTx[Amount],$P79))</f>
        <v>145</v>
      </c>
      <c r="F79" s="74" t="str">
        <f>IF($P79="","",INDEX(tblTx[Payment Method],$P79)&amp;"")</f>
        <v>Card</v>
      </c>
      <c r="G79" s="69">
        <f>IF($P79="","",IFERROR(E79/$C$8,0))</f>
        <v>0.042102084488721</v>
      </c>
      <c r="P79" s="52">
        <f>IFERROR(MATCH(LARGE(tblTx[Rank Key],4),tblTx[Rank Key],0),"")</f>
        <v>15</v>
      </c>
    </row>
    <row r="80">
      <c r="B80" s="55" t="str">
        <f>IF($P80="","",IF(INDEX(tblTx[Description],$P80)="","(no description)",INDEX(tblTx[Description],$P80)))</f>
        <v>Weekly groceries</v>
      </c>
      <c r="C80" s="72">
        <f>IF($P80="","",INDEX(tblTx[Date],$P80))</f>
        <v>46342</v>
      </c>
      <c r="D80" s="55" t="str">
        <f>IF($P80="","",INDEX(tblTx[Category],$P80)&amp;"")</f>
        <v>Groceries</v>
      </c>
      <c r="E80" s="73">
        <f>IF($P80="","",INDEX(tblTx[Amount],$P80))</f>
        <v>121.3</v>
      </c>
      <c r="F80" s="74" t="str">
        <f>IF($P80="","",INDEX(tblTx[Payment Method],$P80)&amp;"")</f>
        <v>Card</v>
      </c>
      <c r="G80" s="69">
        <f>IF($P80="","",IFERROR(E80/$C$8,0))</f>
        <v>0.0352205713688404</v>
      </c>
      <c r="P80" s="52">
        <f>IFERROR(MATCH(LARGE(tblTx[Rank Key],5),tblTx[Rank Key],0),"")</f>
        <v>16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20">
    <mergeCell ref="C6:D6"/>
    <mergeCell ref="L7:M7"/>
    <mergeCell ref="J5:K5"/>
    <mergeCell ref="N7:O7"/>
    <mergeCell ref="C5:D5"/>
    <mergeCell ref="E5:F5"/>
    <mergeCell ref="G7:H7"/>
    <mergeCell ref="J6:K6"/>
    <mergeCell ref="L5:M5"/>
    <mergeCell ref="G6:H6"/>
    <mergeCell ref="N5:O5"/>
    <mergeCell ref="E6:F6"/>
    <mergeCell ref="J7:K7"/>
    <mergeCell ref="G5:H5"/>
    <mergeCell ref="C7:D7"/>
    <mergeCell ref="L6:M6"/>
    <mergeCell ref="E7:F7"/>
    <mergeCell ref="N6:O6"/>
    <mergeCell ref="C3:D3"/>
    <mergeCell ref="E3:F3"/>
  </mergeCells>
  <conditionalFormatting sqref="E6">
    <cfRule type="expression" priority="1" dxfId="0">
      <formula>$E$8&lt;0</formula>
    </cfRule>
    <cfRule type="expression" priority="2" dxfId="1">
      <formula>$E$8&gt;=0</formula>
    </cfRule>
  </conditionalFormatting>
  <conditionalFormatting sqref="N6">
    <cfRule type="expression" priority="3" dxfId="0">
      <formula>$N$8&lt;0</formula>
    </cfRule>
  </conditionalFormatting>
  <conditionalFormatting sqref="G6">
    <cfRule type="expression" priority="4" dxfId="0">
      <formula>AND(ISNUMBER($G$8),$G$8&gt;1)</formula>
    </cfRule>
    <cfRule type="expression" priority="5" dxfId="2">
      <formula>AND(ISNUMBER($G$8),$G$8&gt;=0.8)</formula>
    </cfRule>
  </conditionalFormatting>
  <conditionalFormatting sqref="G12:G32">
    <cfRule type="expression" priority="6" dxfId="3" stopIfTrue="1">
      <formula>AND($B12&lt;&gt;"",OR($G12="No budget",AND(ISNUMBER($G12),$G12&gt;1)))</formula>
    </cfRule>
    <cfRule type="expression" priority="7" dxfId="4" stopIfTrue="1">
      <formula>AND($B12&lt;&gt;"",ISNUMBER($G12),$G12&gt;=0.8)</formula>
    </cfRule>
    <cfRule type="expression" priority="8" dxfId="5" stopIfTrue="1">
      <formula>AND($B12&lt;&gt;"",ISNUMBER($G12))</formula>
    </cfRule>
  </conditionalFormatting>
  <conditionalFormatting sqref="H12:H32">
    <cfRule type="dataBar" priority="9">
      <dataBar>
        <cfvo type="num" val="0"/>
        <cfvo type="num" val="1"/>
        <color rgb="002A78D6"/>
      </dataBar>
    </cfRule>
  </conditionalFormatting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tabColor rgb="00A6A6A6"/>
    <outlinePr summaryBelow="1" summaryRight="1"/>
    <pageSetUpPr/>
  </sheetPr>
  <dimension ref="A1:J3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5" customWidth="1" min="2" max="2"/>
    <col width="14" customWidth="1" min="3" max="3"/>
    <col width="14" customWidth="1" min="4" max="4"/>
    <col width="14" customWidth="1" min="5" max="5"/>
    <col width="18" customWidth="1" min="6" max="6"/>
    <col width="3" customWidth="1" min="7" max="7"/>
    <col width="13" customWidth="1" min="8" max="8"/>
    <col width="15" customWidth="1" min="9" max="9"/>
    <col width="14" customWidth="1" min="10" max="10"/>
  </cols>
  <sheetData>
    <row r="1">
      <c r="A1" s="13" t="inlineStr">
        <is>
          <t>Daily Flow</t>
        </is>
      </c>
    </row>
    <row r="2">
      <c r="A2" s="2" t="inlineStr">
        <is>
          <t>Automatic: one row per day of the month, built from the Transactions sheet. Nothing to type here.</t>
        </is>
      </c>
      <c r="H2" s="75" t="inlineStr">
        <is>
          <t>Chart feed (automatic)</t>
        </is>
      </c>
    </row>
    <row r="3">
      <c r="H3" s="76" t="inlineStr">
        <is>
          <t>Repeats the last day in short months so charts never drop to zero.</t>
        </is>
      </c>
    </row>
    <row r="4" ht="30" customHeight="1">
      <c r="A4" s="77" t="inlineStr">
        <is>
          <t>Day</t>
        </is>
      </c>
      <c r="B4" s="77" t="inlineStr">
        <is>
          <t>Date</t>
        </is>
      </c>
      <c r="C4" s="77" t="str">
        <f>"Income ("&amp;CurSym&amp;")"</f>
        <v>Income ($)</v>
      </c>
      <c r="D4" s="77" t="str">
        <f>"Expenses ("&amp;CurSym&amp;")"</f>
        <v>Expenses ($)</v>
      </c>
      <c r="E4" s="77" t="str">
        <f>"Net ("&amp;CurSym&amp;")"</f>
        <v>Net ($)</v>
      </c>
      <c r="F4" s="77" t="str">
        <f>"Running Balance ("&amp;CurSym&amp;")"</f>
        <v>Running Balance ($)</v>
      </c>
      <c r="H4" s="78" t="inlineStr">
        <is>
          <t>Chart date</t>
        </is>
      </c>
      <c r="I4" s="78" t="inlineStr">
        <is>
          <t>Running balance</t>
        </is>
      </c>
      <c r="J4" s="78" t="inlineStr">
        <is>
          <t>Daily spending</t>
        </is>
      </c>
    </row>
    <row r="5">
      <c r="A5" s="56" t="n">
        <v>1</v>
      </c>
      <c r="B5" s="79">
        <f>IF(StartDate+A5-1&lt;=EndDate,StartDate+A5-1,"")</f>
        <v>46327</v>
      </c>
      <c r="C5" s="57">
        <f>IF(B5="","",SUMIFS(tblTx[Amount],tblTx[Type],"Income",tblTx[Date],B5))</f>
        <v>4500</v>
      </c>
      <c r="D5" s="57">
        <f>IF(B5="","",SUMIFS(tblTx[Amount],tblTx[Type],"Expense",tblTx[Date],B5))</f>
        <v>1400</v>
      </c>
      <c r="E5" s="58">
        <f>IF(B5="","",C5-D5)</f>
        <v>3100</v>
      </c>
      <c r="F5" s="80">
        <f>IF(B5="","",E5)</f>
        <v>3100</v>
      </c>
      <c r="H5" s="81">
        <f>MIN(StartDate+A5-1,EndDate)</f>
        <v>46327</v>
      </c>
      <c r="I5" s="82">
        <f>INDEX($F$5:$F$35,MIN(A5,DaysInMonth))</f>
        <v>3100</v>
      </c>
      <c r="J5" s="83">
        <f>INDEX($D$5:$D$35,MIN(A5,DaysInMonth))</f>
        <v>1400</v>
      </c>
    </row>
    <row r="6">
      <c r="A6" s="56" t="n">
        <v>2</v>
      </c>
      <c r="B6" s="79">
        <f>IF(StartDate+A6-1&lt;=EndDate,StartDate+A6-1,"")</f>
        <v>46328</v>
      </c>
      <c r="C6" s="57">
        <f>IF(B6="","",SUMIFS(tblTx[Amount],tblTx[Type],"Income",tblTx[Date],B6))</f>
        <v>0</v>
      </c>
      <c r="D6" s="57">
        <f>IF(B6="","",SUMIFS(tblTx[Amount],tblTx[Type],"Expense",tblTx[Date],B6))</f>
        <v>112.4</v>
      </c>
      <c r="E6" s="58">
        <f>IF(B6="","",C6-D6)</f>
        <v>-112.4</v>
      </c>
      <c r="F6" s="80">
        <f>IF(B6="","",F5+E6)</f>
        <v>2987.6</v>
      </c>
      <c r="H6" s="81">
        <f>MIN(StartDate+A6-1,EndDate)</f>
        <v>46328</v>
      </c>
      <c r="I6" s="82">
        <f>INDEX($F$5:$F$35,MIN(A6,DaysInMonth))</f>
        <v>2987.6</v>
      </c>
      <c r="J6" s="83">
        <f>INDEX($D$5:$D$35,MIN(A6,DaysInMonth))</f>
        <v>112.4</v>
      </c>
    </row>
    <row r="7">
      <c r="A7" s="56" t="n">
        <v>3</v>
      </c>
      <c r="B7" s="79">
        <f>IF(StartDate+A7-1&lt;=EndDate,StartDate+A7-1,"")</f>
        <v>46329</v>
      </c>
      <c r="C7" s="57">
        <f>IF(B7="","",SUMIFS(tblTx[Amount],tblTx[Type],"Income",tblTx[Date],B7))</f>
        <v>0</v>
      </c>
      <c r="D7" s="57">
        <f>IF(B7="","",SUMIFS(tblTx[Amount],tblTx[Type],"Expense",tblTx[Date],B7))</f>
        <v>24.98</v>
      </c>
      <c r="E7" s="58">
        <f>IF(B7="","",C7-D7)</f>
        <v>-24.98</v>
      </c>
      <c r="F7" s="80">
        <f>IF(B7="","",F6+E7)</f>
        <v>2962.62</v>
      </c>
      <c r="H7" s="81">
        <f>MIN(StartDate+A7-1,EndDate)</f>
        <v>46329</v>
      </c>
      <c r="I7" s="82">
        <f>INDEX($F$5:$F$35,MIN(A7,DaysInMonth))</f>
        <v>2962.62</v>
      </c>
      <c r="J7" s="83">
        <f>INDEX($D$5:$D$35,MIN(A7,DaysInMonth))</f>
        <v>24.98</v>
      </c>
    </row>
    <row r="8">
      <c r="A8" s="56" t="n">
        <v>4</v>
      </c>
      <c r="B8" s="79">
        <f>IF(StartDate+A8-1&lt;=EndDate,StartDate+A8-1,"")</f>
        <v>46330</v>
      </c>
      <c r="C8" s="57">
        <f>IF(B8="","",SUMIFS(tblTx[Amount],tblTx[Type],"Income",tblTx[Date],B8))</f>
        <v>0</v>
      </c>
      <c r="D8" s="57">
        <f>IF(B8="","",SUMIFS(tblTx[Amount],tblTx[Type],"Expense",tblTx[Date],B8))</f>
        <v>55</v>
      </c>
      <c r="E8" s="58">
        <f>IF(B8="","",C8-D8)</f>
        <v>-55</v>
      </c>
      <c r="F8" s="80">
        <f>IF(B8="","",F7+E8)</f>
        <v>2907.62</v>
      </c>
      <c r="H8" s="81">
        <f>MIN(StartDate+A8-1,EndDate)</f>
        <v>46330</v>
      </c>
      <c r="I8" s="82">
        <f>INDEX($F$5:$F$35,MIN(A8,DaysInMonth))</f>
        <v>2907.62</v>
      </c>
      <c r="J8" s="83">
        <f>INDEX($D$5:$D$35,MIN(A8,DaysInMonth))</f>
        <v>55</v>
      </c>
    </row>
    <row r="9">
      <c r="A9" s="56" t="n">
        <v>5</v>
      </c>
      <c r="B9" s="79">
        <f>IF(StartDate+A9-1&lt;=EndDate,StartDate+A9-1,"")</f>
        <v>46331</v>
      </c>
      <c r="C9" s="57">
        <f>IF(B9="","",SUMIFS(tblTx[Amount],tblTx[Type],"Income",tblTx[Date],B9))</f>
        <v>0</v>
      </c>
      <c r="D9" s="57">
        <f>IF(B9="","",SUMIFS(tblTx[Amount],tblTx[Type],"Expense",tblTx[Date],B9))</f>
        <v>96.3</v>
      </c>
      <c r="E9" s="58">
        <f>IF(B9="","",C9-D9)</f>
        <v>-96.3</v>
      </c>
      <c r="F9" s="80">
        <f>IF(B9="","",F8+E9)</f>
        <v>2811.32</v>
      </c>
      <c r="H9" s="81">
        <f>MIN(StartDate+A9-1,EndDate)</f>
        <v>46331</v>
      </c>
      <c r="I9" s="82">
        <f>INDEX($F$5:$F$35,MIN(A9,DaysInMonth))</f>
        <v>2811.32</v>
      </c>
      <c r="J9" s="83">
        <f>INDEX($D$5:$D$35,MIN(A9,DaysInMonth))</f>
        <v>96.3</v>
      </c>
    </row>
    <row r="10">
      <c r="A10" s="56" t="n">
        <v>6</v>
      </c>
      <c r="B10" s="79">
        <f>IF(StartDate+A10-1&lt;=EndDate,StartDate+A10-1,"")</f>
        <v>46332</v>
      </c>
      <c r="C10" s="57">
        <f>IF(B10="","",SUMIFS(tblTx[Amount],tblTx[Type],"Income",tblTx[Date],B10))</f>
        <v>0</v>
      </c>
      <c r="D10" s="57">
        <f>IF(B10="","",SUMIFS(tblTx[Amount],tblTx[Type],"Expense",tblTx[Date],B10))</f>
        <v>28.5</v>
      </c>
      <c r="E10" s="58">
        <f>IF(B10="","",C10-D10)</f>
        <v>-28.5</v>
      </c>
      <c r="F10" s="80">
        <f>IF(B10="","",F9+E10)</f>
        <v>2782.82</v>
      </c>
      <c r="H10" s="81">
        <f>MIN(StartDate+A10-1,EndDate)</f>
        <v>46332</v>
      </c>
      <c r="I10" s="82">
        <f>INDEX($F$5:$F$35,MIN(A10,DaysInMonth))</f>
        <v>2782.82</v>
      </c>
      <c r="J10" s="83">
        <f>INDEX($D$5:$D$35,MIN(A10,DaysInMonth))</f>
        <v>28.5</v>
      </c>
    </row>
    <row r="11">
      <c r="A11" s="56" t="n">
        <v>7</v>
      </c>
      <c r="B11" s="79">
        <f>IF(StartDate+A11-1&lt;=EndDate,StartDate+A11-1,"")</f>
        <v>46333</v>
      </c>
      <c r="C11" s="57">
        <f>IF(B11="","",SUMIFS(tblTx[Amount],tblTx[Type],"Income",tblTx[Date],B11))</f>
        <v>0</v>
      </c>
      <c r="D11" s="57">
        <f>IF(B11="","",SUMIFS(tblTx[Amount],tblTx[Type],"Expense",tblTx[Date],B11))</f>
        <v>89.99</v>
      </c>
      <c r="E11" s="58">
        <f>IF(B11="","",C11-D11)</f>
        <v>-89.99</v>
      </c>
      <c r="F11" s="80">
        <f>IF(B11="","",F10+E11)</f>
        <v>2692.83</v>
      </c>
      <c r="H11" s="81">
        <f>MIN(StartDate+A11-1,EndDate)</f>
        <v>46333</v>
      </c>
      <c r="I11" s="82">
        <f>INDEX($F$5:$F$35,MIN(A11,DaysInMonth))</f>
        <v>2692.83</v>
      </c>
      <c r="J11" s="83">
        <f>INDEX($D$5:$D$35,MIN(A11,DaysInMonth))</f>
        <v>89.99</v>
      </c>
    </row>
    <row r="12">
      <c r="A12" s="56" t="n">
        <v>8</v>
      </c>
      <c r="B12" s="79">
        <f>IF(StartDate+A12-1&lt;=EndDate,StartDate+A12-1,"")</f>
        <v>46334</v>
      </c>
      <c r="C12" s="57">
        <f>IF(B12="","",SUMIFS(tblTx[Amount],tblTx[Type],"Income",tblTx[Date],B12))</f>
        <v>0</v>
      </c>
      <c r="D12" s="57">
        <f>IF(B12="","",SUMIFS(tblTx[Amount],tblTx[Type],"Expense",tblTx[Date],B12))</f>
        <v>600</v>
      </c>
      <c r="E12" s="58">
        <f>IF(B12="","",C12-D12)</f>
        <v>-600</v>
      </c>
      <c r="F12" s="80">
        <f>IF(B12="","",F11+E12)</f>
        <v>2092.83</v>
      </c>
      <c r="H12" s="81">
        <f>MIN(StartDate+A12-1,EndDate)</f>
        <v>46334</v>
      </c>
      <c r="I12" s="82">
        <f>INDEX($F$5:$F$35,MIN(A12,DaysInMonth))</f>
        <v>2092.83</v>
      </c>
      <c r="J12" s="83">
        <f>INDEX($D$5:$D$35,MIN(A12,DaysInMonth))</f>
        <v>600</v>
      </c>
    </row>
    <row r="13">
      <c r="A13" s="56" t="n">
        <v>9</v>
      </c>
      <c r="B13" s="79">
        <f>IF(StartDate+A13-1&lt;=EndDate,StartDate+A13-1,"")</f>
        <v>46335</v>
      </c>
      <c r="C13" s="57">
        <f>IF(B13="","",SUMIFS(tblTx[Amount],tblTx[Type],"Income",tblTx[Date],B13))</f>
        <v>0</v>
      </c>
      <c r="D13" s="57">
        <f>IF(B13="","",SUMIFS(tblTx[Amount],tblTx[Type],"Expense",tblTx[Date],B13))</f>
        <v>98.75</v>
      </c>
      <c r="E13" s="58">
        <f>IF(B13="","",C13-D13)</f>
        <v>-98.75</v>
      </c>
      <c r="F13" s="80">
        <f>IF(B13="","",F12+E13)</f>
        <v>1994.08</v>
      </c>
      <c r="H13" s="81">
        <f>MIN(StartDate+A13-1,EndDate)</f>
        <v>46335</v>
      </c>
      <c r="I13" s="82">
        <f>INDEX($F$5:$F$35,MIN(A13,DaysInMonth))</f>
        <v>1994.08</v>
      </c>
      <c r="J13" s="83">
        <f>INDEX($D$5:$D$35,MIN(A13,DaysInMonth))</f>
        <v>98.75</v>
      </c>
    </row>
    <row r="14">
      <c r="A14" s="56" t="n">
        <v>10</v>
      </c>
      <c r="B14" s="79">
        <f>IF(StartDate+A14-1&lt;=EndDate,StartDate+A14-1,"")</f>
        <v>46336</v>
      </c>
      <c r="C14" s="57">
        <f>IF(B14="","",SUMIFS(tblTx[Amount],tblTx[Type],"Income",tblTx[Date],B14))</f>
        <v>650</v>
      </c>
      <c r="D14" s="57">
        <f>IF(B14="","",SUMIFS(tblTx[Amount],tblTx[Type],"Expense",tblTx[Date],B14))</f>
        <v>0</v>
      </c>
      <c r="E14" s="58">
        <f>IF(B14="","",C14-D14)</f>
        <v>650</v>
      </c>
      <c r="F14" s="80">
        <f>IF(B14="","",F13+E14)</f>
        <v>2644.08</v>
      </c>
      <c r="H14" s="81">
        <f>MIN(StartDate+A14-1,EndDate)</f>
        <v>46336</v>
      </c>
      <c r="I14" s="82">
        <f>INDEX($F$5:$F$35,MIN(A14,DaysInMonth))</f>
        <v>2644.08</v>
      </c>
      <c r="J14" s="83">
        <f>INDEX($D$5:$D$35,MIN(A14,DaysInMonth))</f>
        <v>0</v>
      </c>
    </row>
    <row r="15">
      <c r="A15" s="56" t="n">
        <v>11</v>
      </c>
      <c r="B15" s="79">
        <f>IF(StartDate+A15-1&lt;=EndDate,StartDate+A15-1,"")</f>
        <v>46337</v>
      </c>
      <c r="C15" s="57">
        <f>IF(B15="","",SUMIFS(tblTx[Amount],tblTx[Type],"Income",tblTx[Date],B15))</f>
        <v>0</v>
      </c>
      <c r="D15" s="57">
        <f>IF(B15="","",SUMIFS(tblTx[Amount],tblTx[Type],"Expense",tblTx[Date],B15))</f>
        <v>32.6</v>
      </c>
      <c r="E15" s="58">
        <f>IF(B15="","",C15-D15)</f>
        <v>-32.6</v>
      </c>
      <c r="F15" s="80">
        <f>IF(B15="","",F14+E15)</f>
        <v>2611.48</v>
      </c>
      <c r="H15" s="81">
        <f>MIN(StartDate+A15-1,EndDate)</f>
        <v>46337</v>
      </c>
      <c r="I15" s="82">
        <f>INDEX($F$5:$F$35,MIN(A15,DaysInMonth))</f>
        <v>2611.48</v>
      </c>
      <c r="J15" s="83">
        <f>INDEX($D$5:$D$35,MIN(A15,DaysInMonth))</f>
        <v>32.6</v>
      </c>
    </row>
    <row r="16">
      <c r="A16" s="56" t="n">
        <v>12</v>
      </c>
      <c r="B16" s="79">
        <f>IF(StartDate+A16-1&lt;=EndDate,StartDate+A16-1,"")</f>
        <v>46338</v>
      </c>
      <c r="C16" s="57">
        <f>IF(B16="","",SUMIFS(tblTx[Amount],tblTx[Type],"Income",tblTx[Date],B16))</f>
        <v>0</v>
      </c>
      <c r="D16" s="57">
        <f>IF(B16="","",SUMIFS(tblTx[Amount],tblTx[Type],"Expense",tblTx[Date],B16))</f>
        <v>30</v>
      </c>
      <c r="E16" s="58">
        <f>IF(B16="","",C16-D16)</f>
        <v>-30</v>
      </c>
      <c r="F16" s="80">
        <f>IF(B16="","",F15+E16)</f>
        <v>2581.48</v>
      </c>
      <c r="H16" s="81">
        <f>MIN(StartDate+A16-1,EndDate)</f>
        <v>46338</v>
      </c>
      <c r="I16" s="82">
        <f>INDEX($F$5:$F$35,MIN(A16,DaysInMonth))</f>
        <v>2581.48</v>
      </c>
      <c r="J16" s="83">
        <f>INDEX($D$5:$D$35,MIN(A16,DaysInMonth))</f>
        <v>30</v>
      </c>
    </row>
    <row r="17">
      <c r="A17" s="56" t="n">
        <v>13</v>
      </c>
      <c r="B17" s="79">
        <f>IF(StartDate+A17-1&lt;=EndDate,StartDate+A17-1,"")</f>
        <v>46339</v>
      </c>
      <c r="C17" s="57">
        <f>IF(B17="","",SUMIFS(tblTx[Amount],tblTx[Type],"Income",tblTx[Date],B17))</f>
        <v>0</v>
      </c>
      <c r="D17" s="57">
        <f>IF(B17="","",SUMIFS(tblTx[Amount],tblTx[Type],"Expense",tblTx[Date],B17))</f>
        <v>0</v>
      </c>
      <c r="E17" s="58">
        <f>IF(B17="","",C17-D17)</f>
        <v>0</v>
      </c>
      <c r="F17" s="80">
        <f>IF(B17="","",F16+E17)</f>
        <v>2581.48</v>
      </c>
      <c r="H17" s="81">
        <f>MIN(StartDate+A17-1,EndDate)</f>
        <v>46339</v>
      </c>
      <c r="I17" s="82">
        <f>INDEX($F$5:$F$35,MIN(A17,DaysInMonth))</f>
        <v>2581.48</v>
      </c>
      <c r="J17" s="83">
        <f>INDEX($D$5:$D$35,MIN(A17,DaysInMonth))</f>
        <v>0</v>
      </c>
    </row>
    <row r="18">
      <c r="A18" s="56" t="n">
        <v>14</v>
      </c>
      <c r="B18" s="79">
        <f>IF(StartDate+A18-1&lt;=EndDate,StartDate+A18-1,"")</f>
        <v>46340</v>
      </c>
      <c r="C18" s="57">
        <f>IF(B18="","",SUMIFS(tblTx[Amount],tblTx[Type],"Income",tblTx[Date],B18))</f>
        <v>0</v>
      </c>
      <c r="D18" s="57">
        <f>IF(B18="","",SUMIFS(tblTx[Amount],tblTx[Type],"Expense",tblTx[Date],B18))</f>
        <v>350</v>
      </c>
      <c r="E18" s="58">
        <f>IF(B18="","",C18-D18)</f>
        <v>-350</v>
      </c>
      <c r="F18" s="80">
        <f>IF(B18="","",F17+E18)</f>
        <v>2231.48</v>
      </c>
      <c r="H18" s="81">
        <f>MIN(StartDate+A18-1,EndDate)</f>
        <v>46340</v>
      </c>
      <c r="I18" s="82">
        <f>INDEX($F$5:$F$35,MIN(A18,DaysInMonth))</f>
        <v>2231.48</v>
      </c>
      <c r="J18" s="83">
        <f>INDEX($D$5:$D$35,MIN(A18,DaysInMonth))</f>
        <v>350</v>
      </c>
    </row>
    <row r="19">
      <c r="A19" s="56" t="n">
        <v>15</v>
      </c>
      <c r="B19" s="79">
        <f>IF(StartDate+A19-1&lt;=EndDate,StartDate+A19-1,"")</f>
        <v>46341</v>
      </c>
      <c r="C19" s="57">
        <f>IF(B19="","",SUMIFS(tblTx[Amount],tblTx[Type],"Income",tblTx[Date],B19))</f>
        <v>0</v>
      </c>
      <c r="D19" s="57">
        <f>IF(B19="","",SUMIFS(tblTx[Amount],tblTx[Type],"Expense",tblTx[Date],B19))</f>
        <v>145</v>
      </c>
      <c r="E19" s="58">
        <f>IF(B19="","",C19-D19)</f>
        <v>-145</v>
      </c>
      <c r="F19" s="80">
        <f>IF(B19="","",F18+E19)</f>
        <v>2086.48</v>
      </c>
      <c r="H19" s="81">
        <f>MIN(StartDate+A19-1,EndDate)</f>
        <v>46341</v>
      </c>
      <c r="I19" s="82">
        <f>INDEX($F$5:$F$35,MIN(A19,DaysInMonth))</f>
        <v>2086.48</v>
      </c>
      <c r="J19" s="83">
        <f>INDEX($D$5:$D$35,MIN(A19,DaysInMonth))</f>
        <v>145</v>
      </c>
    </row>
    <row r="20">
      <c r="A20" s="56" t="n">
        <v>16</v>
      </c>
      <c r="B20" s="79">
        <f>IF(StartDate+A20-1&lt;=EndDate,StartDate+A20-1,"")</f>
        <v>46342</v>
      </c>
      <c r="C20" s="57">
        <f>IF(B20="","",SUMIFS(tblTx[Amount],tblTx[Type],"Income",tblTx[Date],B20))</f>
        <v>0</v>
      </c>
      <c r="D20" s="57">
        <f>IF(B20="","",SUMIFS(tblTx[Amount],tblTx[Type],"Expense",tblTx[Date],B20))</f>
        <v>121.3</v>
      </c>
      <c r="E20" s="58">
        <f>IF(B20="","",C20-D20)</f>
        <v>-121.3</v>
      </c>
      <c r="F20" s="80">
        <f>IF(B20="","",F19+E20)</f>
        <v>1965.18</v>
      </c>
      <c r="H20" s="81">
        <f>MIN(StartDate+A20-1,EndDate)</f>
        <v>46342</v>
      </c>
      <c r="I20" s="82">
        <f>INDEX($F$5:$F$35,MIN(A20,DaysInMonth))</f>
        <v>1965.18</v>
      </c>
      <c r="J20" s="83">
        <f>INDEX($D$5:$D$35,MIN(A20,DaysInMonth))</f>
        <v>121.3</v>
      </c>
    </row>
    <row r="21">
      <c r="A21" s="56" t="n">
        <v>17</v>
      </c>
      <c r="B21" s="79">
        <f>IF(StartDate+A21-1&lt;=EndDate,StartDate+A21-1,"")</f>
        <v>46343</v>
      </c>
      <c r="C21" s="57">
        <f>IF(B21="","",SUMIFS(tblTx[Amount],tblTx[Type],"Income",tblTx[Date],B21))</f>
        <v>0</v>
      </c>
      <c r="D21" s="57">
        <f>IF(B21="","",SUMIFS(tblTx[Amount],tblTx[Type],"Expense",tblTx[Date],B21))</f>
        <v>0</v>
      </c>
      <c r="E21" s="58">
        <f>IF(B21="","",C21-D21)</f>
        <v>0</v>
      </c>
      <c r="F21" s="80">
        <f>IF(B21="","",F20+E21)</f>
        <v>1965.18</v>
      </c>
      <c r="H21" s="81">
        <f>MIN(StartDate+A21-1,EndDate)</f>
        <v>46343</v>
      </c>
      <c r="I21" s="82">
        <f>INDEX($F$5:$F$35,MIN(A21,DaysInMonth))</f>
        <v>1965.18</v>
      </c>
      <c r="J21" s="83">
        <f>INDEX($D$5:$D$35,MIN(A21,DaysInMonth))</f>
        <v>0</v>
      </c>
    </row>
    <row r="22">
      <c r="A22" s="56" t="n">
        <v>18</v>
      </c>
      <c r="B22" s="79">
        <f>IF(StartDate+A22-1&lt;=EndDate,StartDate+A22-1,"")</f>
        <v>46344</v>
      </c>
      <c r="C22" s="57">
        <f>IF(B22="","",SUMIFS(tblTx[Amount],tblTx[Type],"Income",tblTx[Date],B22))</f>
        <v>0</v>
      </c>
      <c r="D22" s="57">
        <f>IF(B22="","",SUMIFS(tblTx[Amount],tblTx[Type],"Expense",tblTx[Date],B22))</f>
        <v>45</v>
      </c>
      <c r="E22" s="58">
        <f>IF(B22="","",C22-D22)</f>
        <v>-45</v>
      </c>
      <c r="F22" s="80">
        <f>IF(B22="","",F21+E22)</f>
        <v>1920.18</v>
      </c>
      <c r="H22" s="81">
        <f>MIN(StartDate+A22-1,EndDate)</f>
        <v>46344</v>
      </c>
      <c r="I22" s="82">
        <f>INDEX($F$5:$F$35,MIN(A22,DaysInMonth))</f>
        <v>1920.18</v>
      </c>
      <c r="J22" s="83">
        <f>INDEX($D$5:$D$35,MIN(A22,DaysInMonth))</f>
        <v>45</v>
      </c>
    </row>
    <row r="23">
      <c r="A23" s="56" t="n">
        <v>19</v>
      </c>
      <c r="B23" s="79">
        <f>IF(StartDate+A23-1&lt;=EndDate,StartDate+A23-1,"")</f>
        <v>46345</v>
      </c>
      <c r="C23" s="57">
        <f>IF(B23="","",SUMIFS(tblTx[Amount],tblTx[Type],"Income",tblTx[Date],B23))</f>
        <v>0</v>
      </c>
      <c r="D23" s="57">
        <f>IF(B23="","",SUMIFS(tblTx[Amount],tblTx[Type],"Expense",tblTx[Date],B23))</f>
        <v>0</v>
      </c>
      <c r="E23" s="58">
        <f>IF(B23="","",C23-D23)</f>
        <v>0</v>
      </c>
      <c r="F23" s="80">
        <f>IF(B23="","",F22+E23)</f>
        <v>1920.18</v>
      </c>
      <c r="H23" s="81">
        <f>MIN(StartDate+A23-1,EndDate)</f>
        <v>46345</v>
      </c>
      <c r="I23" s="82">
        <f>INDEX($F$5:$F$35,MIN(A23,DaysInMonth))</f>
        <v>1920.18</v>
      </c>
      <c r="J23" s="83">
        <f>INDEX($D$5:$D$35,MIN(A23,DaysInMonth))</f>
        <v>0</v>
      </c>
    </row>
    <row r="24">
      <c r="A24" s="56" t="n">
        <v>20</v>
      </c>
      <c r="B24" s="79">
        <f>IF(StartDate+A24-1&lt;=EndDate,StartDate+A24-1,"")</f>
        <v>46346</v>
      </c>
      <c r="C24" s="57">
        <f>IF(B24="","",SUMIFS(tblTx[Amount],tblTx[Type],"Income",tblTx[Date],B24))</f>
        <v>0</v>
      </c>
      <c r="D24" s="57">
        <f>IF(B24="","",SUMIFS(tblTx[Amount],tblTx[Type],"Expense",tblTx[Date],B24))</f>
        <v>60</v>
      </c>
      <c r="E24" s="58">
        <f>IF(B24="","",C24-D24)</f>
        <v>-60</v>
      </c>
      <c r="F24" s="80">
        <f>IF(B24="","",F23+E24)</f>
        <v>1860.18</v>
      </c>
      <c r="H24" s="81">
        <f>MIN(StartDate+A24-1,EndDate)</f>
        <v>46346</v>
      </c>
      <c r="I24" s="82">
        <f>INDEX($F$5:$F$35,MIN(A24,DaysInMonth))</f>
        <v>1860.18</v>
      </c>
      <c r="J24" s="83">
        <f>INDEX($D$5:$D$35,MIN(A24,DaysInMonth))</f>
        <v>60</v>
      </c>
    </row>
    <row r="25">
      <c r="A25" s="56" t="n">
        <v>21</v>
      </c>
      <c r="B25" s="79">
        <f>IF(StartDate+A25-1&lt;=EndDate,StartDate+A25-1,"")</f>
        <v>46347</v>
      </c>
      <c r="C25" s="57">
        <f>IF(B25="","",SUMIFS(tblTx[Amount],tblTx[Type],"Income",tblTx[Date],B25))</f>
        <v>0</v>
      </c>
      <c r="D25" s="57">
        <f>IF(B25="","",SUMIFS(tblTx[Amount],tblTx[Type],"Expense",tblTx[Date],B25))</f>
        <v>0</v>
      </c>
      <c r="E25" s="58">
        <f>IF(B25="","",C25-D25)</f>
        <v>0</v>
      </c>
      <c r="F25" s="80">
        <f>IF(B25="","",F24+E25)</f>
        <v>1860.18</v>
      </c>
      <c r="H25" s="81">
        <f>MIN(StartDate+A25-1,EndDate)</f>
        <v>46347</v>
      </c>
      <c r="I25" s="82">
        <f>INDEX($F$5:$F$35,MIN(A25,DaysInMonth))</f>
        <v>1860.18</v>
      </c>
      <c r="J25" s="83">
        <f>INDEX($D$5:$D$35,MIN(A25,DaysInMonth))</f>
        <v>0</v>
      </c>
    </row>
    <row r="26">
      <c r="A26" s="56" t="n">
        <v>22</v>
      </c>
      <c r="B26" s="79">
        <f>IF(StartDate+A26-1&lt;=EndDate,StartDate+A26-1,"")</f>
        <v>46348</v>
      </c>
      <c r="C26" s="57">
        <f>IF(B26="","",SUMIFS(tblTx[Amount],tblTx[Type],"Income",tblTx[Date],B26))</f>
        <v>0</v>
      </c>
      <c r="D26" s="57">
        <f>IF(B26="","",SUMIFS(tblTx[Amount],tblTx[Type],"Expense",tblTx[Date],B26))</f>
        <v>64.2</v>
      </c>
      <c r="E26" s="58">
        <f>IF(B26="","",C26-D26)</f>
        <v>-64.2</v>
      </c>
      <c r="F26" s="80">
        <f>IF(B26="","",F25+E26)</f>
        <v>1795.98</v>
      </c>
      <c r="H26" s="81">
        <f>MIN(StartDate+A26-1,EndDate)</f>
        <v>46348</v>
      </c>
      <c r="I26" s="82">
        <f>INDEX($F$5:$F$35,MIN(A26,DaysInMonth))</f>
        <v>1795.98</v>
      </c>
      <c r="J26" s="83">
        <f>INDEX($D$5:$D$35,MIN(A26,DaysInMonth))</f>
        <v>64.2</v>
      </c>
    </row>
    <row r="27">
      <c r="A27" s="56" t="n">
        <v>23</v>
      </c>
      <c r="B27" s="79">
        <f>IF(StartDate+A27-1&lt;=EndDate,StartDate+A27-1,"")</f>
        <v>46349</v>
      </c>
      <c r="C27" s="57">
        <f>IF(B27="","",SUMIFS(tblTx[Amount],tblTx[Type],"Income",tblTx[Date],B27))</f>
        <v>0</v>
      </c>
      <c r="D27" s="57">
        <f>IF(B27="","",SUMIFS(tblTx[Amount],tblTx[Type],"Expense",tblTx[Date],B27))</f>
        <v>0</v>
      </c>
      <c r="E27" s="58">
        <f>IF(B27="","",C27-D27)</f>
        <v>0</v>
      </c>
      <c r="F27" s="80">
        <f>IF(B27="","",F26+E27)</f>
        <v>1795.98</v>
      </c>
      <c r="H27" s="81">
        <f>MIN(StartDate+A27-1,EndDate)</f>
        <v>46349</v>
      </c>
      <c r="I27" s="82">
        <f>INDEX($F$5:$F$35,MIN(A27,DaysInMonth))</f>
        <v>1795.98</v>
      </c>
      <c r="J27" s="83">
        <f>INDEX($D$5:$D$35,MIN(A27,DaysInMonth))</f>
        <v>0</v>
      </c>
    </row>
    <row r="28">
      <c r="A28" s="56" t="n">
        <v>24</v>
      </c>
      <c r="B28" s="79">
        <f>IF(StartDate+A28-1&lt;=EndDate,StartDate+A28-1,"")</f>
        <v>46350</v>
      </c>
      <c r="C28" s="57">
        <f>IF(B28="","",SUMIFS(tblTx[Amount],tblTx[Type],"Income",tblTx[Date],B28))</f>
        <v>0</v>
      </c>
      <c r="D28" s="57">
        <f>IF(B28="","",SUMIFS(tblTx[Amount],tblTx[Type],"Expense",tblTx[Date],B28))</f>
        <v>0</v>
      </c>
      <c r="E28" s="58">
        <f>IF(B28="","",C28-D28)</f>
        <v>0</v>
      </c>
      <c r="F28" s="80">
        <f>IF(B28="","",F27+E28)</f>
        <v>1795.98</v>
      </c>
      <c r="H28" s="81">
        <f>MIN(StartDate+A28-1,EndDate)</f>
        <v>46350</v>
      </c>
      <c r="I28" s="82">
        <f>INDEX($F$5:$F$35,MIN(A28,DaysInMonth))</f>
        <v>1795.98</v>
      </c>
      <c r="J28" s="83">
        <f>INDEX($D$5:$D$35,MIN(A28,DaysInMonth))</f>
        <v>0</v>
      </c>
    </row>
    <row r="29">
      <c r="A29" s="56" t="n">
        <v>25</v>
      </c>
      <c r="B29" s="79">
        <f>IF(StartDate+A29-1&lt;=EndDate,StartDate+A29-1,"")</f>
        <v>46351</v>
      </c>
      <c r="C29" s="57">
        <f>IF(B29="","",SUMIFS(tblTx[Amount],tblTx[Type],"Income",tblTx[Date],B29))</f>
        <v>0</v>
      </c>
      <c r="D29" s="57">
        <f>IF(B29="","",SUMIFS(tblTx[Amount],tblTx[Type],"Expense",tblTx[Date],B29))</f>
        <v>89.99</v>
      </c>
      <c r="E29" s="58">
        <f>IF(B29="","",C29-D29)</f>
        <v>-89.99</v>
      </c>
      <c r="F29" s="80">
        <f>IF(B29="","",F28+E29)</f>
        <v>1705.99</v>
      </c>
      <c r="H29" s="81">
        <f>MIN(StartDate+A29-1,EndDate)</f>
        <v>46351</v>
      </c>
      <c r="I29" s="82">
        <f>INDEX($F$5:$F$35,MIN(A29,DaysInMonth))</f>
        <v>1705.99</v>
      </c>
      <c r="J29" s="83">
        <f>INDEX($D$5:$D$35,MIN(A29,DaysInMonth))</f>
        <v>89.99</v>
      </c>
    </row>
    <row r="30">
      <c r="A30" s="56" t="n">
        <v>26</v>
      </c>
      <c r="B30" s="79">
        <f>IF(StartDate+A30-1&lt;=EndDate,StartDate+A30-1,"")</f>
        <v>46352</v>
      </c>
      <c r="C30" s="57">
        <f>IF(B30="","",SUMIFS(tblTx[Amount],tblTx[Type],"Income",tblTx[Date],B30))</f>
        <v>0</v>
      </c>
      <c r="D30" s="57">
        <f>IF(B30="","",SUMIFS(tblTx[Amount],tblTx[Type],"Expense",tblTx[Date],B30))</f>
        <v>0</v>
      </c>
      <c r="E30" s="58">
        <f>IF(B30="","",C30-D30)</f>
        <v>0</v>
      </c>
      <c r="F30" s="80">
        <f>IF(B30="","",F29+E30)</f>
        <v>1705.99</v>
      </c>
      <c r="H30" s="81">
        <f>MIN(StartDate+A30-1,EndDate)</f>
        <v>46352</v>
      </c>
      <c r="I30" s="82">
        <f>INDEX($F$5:$F$35,MIN(A30,DaysInMonth))</f>
        <v>1705.99</v>
      </c>
      <c r="J30" s="83">
        <f>INDEX($D$5:$D$35,MIN(A30,DaysInMonth))</f>
        <v>0</v>
      </c>
    </row>
    <row r="31">
      <c r="A31" s="56" t="n">
        <v>27</v>
      </c>
      <c r="B31" s="79">
        <f>IF(StartDate+A31-1&lt;=EndDate,StartDate+A31-1,"")</f>
        <v>46353</v>
      </c>
      <c r="C31" s="57">
        <f>IF(B31="","",SUMIFS(tblTx[Amount],tblTx[Type],"Income",tblTx[Date],B31))</f>
        <v>0</v>
      </c>
      <c r="D31" s="57">
        <f>IF(B31="","",SUMIFS(tblTx[Amount],tblTx[Type],"Expense",tblTx[Date],B31))</f>
        <v>0</v>
      </c>
      <c r="E31" s="58">
        <f>IF(B31="","",C31-D31)</f>
        <v>0</v>
      </c>
      <c r="F31" s="80">
        <f>IF(B31="","",F30+E31)</f>
        <v>1705.99</v>
      </c>
      <c r="H31" s="81">
        <f>MIN(StartDate+A31-1,EndDate)</f>
        <v>46353</v>
      </c>
      <c r="I31" s="82">
        <f>INDEX($F$5:$F$35,MIN(A31,DaysInMonth))</f>
        <v>1705.99</v>
      </c>
      <c r="J31" s="83">
        <f>INDEX($D$5:$D$35,MIN(A31,DaysInMonth))</f>
        <v>0</v>
      </c>
    </row>
    <row r="32">
      <c r="A32" s="56" t="n">
        <v>28</v>
      </c>
      <c r="B32" s="79">
        <f>IF(StartDate+A32-1&lt;=EndDate,StartDate+A32-1,"")</f>
        <v>46354</v>
      </c>
      <c r="C32" s="57">
        <f>IF(B32="","",SUMIFS(tblTx[Amount],tblTx[Type],"Income",tblTx[Date],B32))</f>
        <v>0</v>
      </c>
      <c r="D32" s="57">
        <f>IF(B32="","",SUMIFS(tblTx[Amount],tblTx[Type],"Expense",tblTx[Date],B32))</f>
        <v>0</v>
      </c>
      <c r="E32" s="58">
        <f>IF(B32="","",C32-D32)</f>
        <v>0</v>
      </c>
      <c r="F32" s="80">
        <f>IF(B32="","",F31+E32)</f>
        <v>1705.99</v>
      </c>
      <c r="H32" s="81">
        <f>MIN(StartDate+A32-1,EndDate)</f>
        <v>46354</v>
      </c>
      <c r="I32" s="82">
        <f>INDEX($F$5:$F$35,MIN(A32,DaysInMonth))</f>
        <v>1705.99</v>
      </c>
      <c r="J32" s="83">
        <f>INDEX($D$5:$D$35,MIN(A32,DaysInMonth))</f>
        <v>0</v>
      </c>
    </row>
    <row r="33">
      <c r="A33" s="56" t="n">
        <v>29</v>
      </c>
      <c r="B33" s="79">
        <f>IF(StartDate+A33-1&lt;=EndDate,StartDate+A33-1,"")</f>
        <v>46355</v>
      </c>
      <c r="C33" s="57">
        <f>IF(B33="","",SUMIFS(tblTx[Amount],tblTx[Type],"Income",tblTx[Date],B33))</f>
        <v>0</v>
      </c>
      <c r="D33" s="57">
        <f>IF(B33="","",SUMIFS(tblTx[Amount],tblTx[Type],"Expense",tblTx[Date],B33))</f>
        <v>0</v>
      </c>
      <c r="E33" s="58">
        <f>IF(B33="","",C33-D33)</f>
        <v>0</v>
      </c>
      <c r="F33" s="80">
        <f>IF(B33="","",F32+E33)</f>
        <v>1705.99</v>
      </c>
      <c r="H33" s="81">
        <f>MIN(StartDate+A33-1,EndDate)</f>
        <v>46355</v>
      </c>
      <c r="I33" s="82">
        <f>INDEX($F$5:$F$35,MIN(A33,DaysInMonth))</f>
        <v>1705.99</v>
      </c>
      <c r="J33" s="83">
        <f>INDEX($D$5:$D$35,MIN(A33,DaysInMonth))</f>
        <v>0</v>
      </c>
    </row>
    <row r="34">
      <c r="A34" s="56" t="n">
        <v>30</v>
      </c>
      <c r="B34" s="79">
        <f>IF(StartDate+A34-1&lt;=EndDate,StartDate+A34-1,"")</f>
        <v>46356</v>
      </c>
      <c r="C34" s="57">
        <f>IF(B34="","",SUMIFS(tblTx[Amount],tblTx[Type],"Income",tblTx[Date],B34))</f>
        <v>0</v>
      </c>
      <c r="D34" s="57">
        <f>IF(B34="","",SUMIFS(tblTx[Amount],tblTx[Type],"Expense",tblTx[Date],B34))</f>
        <v>0</v>
      </c>
      <c r="E34" s="58">
        <f>IF(B34="","",C34-D34)</f>
        <v>0</v>
      </c>
      <c r="F34" s="80">
        <f>IF(B34="","",F33+E34)</f>
        <v>1705.99</v>
      </c>
      <c r="H34" s="81">
        <f>MIN(StartDate+A34-1,EndDate)</f>
        <v>46356</v>
      </c>
      <c r="I34" s="82">
        <f>INDEX($F$5:$F$35,MIN(A34,DaysInMonth))</f>
        <v>1705.99</v>
      </c>
      <c r="J34" s="83">
        <f>INDEX($D$5:$D$35,MIN(A34,DaysInMonth))</f>
        <v>0</v>
      </c>
    </row>
    <row r="35">
      <c r="A35" s="56" t="n">
        <v>31</v>
      </c>
      <c r="B35" s="79" t="str">
        <f>IF(StartDate+A35-1&lt;=EndDate,StartDate+A35-1,"")</f>
        <v/>
      </c>
      <c r="C35" s="57" t="str">
        <f>IF(B35="","",SUMIFS(tblTx[Amount],tblTx[Type],"Income",tblTx[Date],B35))</f>
        <v/>
      </c>
      <c r="D35" s="57" t="str">
        <f>IF(B35="","",SUMIFS(tblTx[Amount],tblTx[Type],"Expense",tblTx[Date],B35))</f>
        <v/>
      </c>
      <c r="E35" s="58" t="str">
        <f>IF(B35="","",C35-D35)</f>
        <v/>
      </c>
      <c r="F35" s="80" t="str">
        <f>IF(B35="","",F34+E35)</f>
        <v/>
      </c>
      <c r="H35" s="81">
        <f>MIN(StartDate+A35-1,EndDate)</f>
        <v>46356</v>
      </c>
      <c r="I35" s="82">
        <f>INDEX($F$5:$F$35,MIN(A35,DaysInMonth))</f>
        <v>1705.99</v>
      </c>
      <c r="J35" s="83">
        <f>INDEX($D$5:$D$35,MIN(A35,DaysInMonth))</f>
        <v>0</v>
      </c>
    </row>
    <row r="36">
      <c r="A36" s="62" t="inlineStr">
        <is>
          <t>Total</t>
        </is>
      </c>
      <c r="B36" s="63" t="n"/>
      <c r="C36" s="65">
        <f>SUM(C5:C35)</f>
        <v>5150</v>
      </c>
      <c r="D36" s="65">
        <f>SUM(D5:D35)</f>
        <v>3444.01</v>
      </c>
      <c r="E36" s="65">
        <f>SUM(E5:E35)</f>
        <v>1705.99</v>
      </c>
      <c r="F36" s="65">
        <f>INDEX(F5:F35,DaysInMonth)</f>
        <v>1705.99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2026-10-30T02:17:41Z</dcterms:created>
  <dcterms:modified xmlns:dcterms="http://purl.org/dc/terms/" xmlns:xsi="http://www.w3.org/2001/XMLSchema-instance" xsi:type="dcterms:W3CDTF">2026-10-30T02:17:41Z</dcterms:modified>
</cp:coreProperties>
</file>